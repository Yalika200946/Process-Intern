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sktop\Bangchak Internship 2026\Data\"/>
    </mc:Choice>
  </mc:AlternateContent>
  <xr:revisionPtr revIDLastSave="0" documentId="8_{15496E0F-4727-4EED-8B72-E072FBBD4B3E}" xr6:coauthVersionLast="47" xr6:coauthVersionMax="47" xr10:uidLastSave="{00000000-0000-0000-0000-000000000000}"/>
  <bookViews>
    <workbookView xWindow="-108" yWindow="-108" windowWidth="23256" windowHeight="13896" xr2:uid="{C76F478B-9492-4C1E-B63D-F60CEEA31F62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265" i="1" l="1"/>
  <c r="P264" i="1"/>
  <c r="P263" i="1"/>
  <c r="P262" i="1"/>
  <c r="P261" i="1"/>
  <c r="P260" i="1"/>
  <c r="P259" i="1"/>
  <c r="P250" i="1"/>
  <c r="P249" i="1"/>
  <c r="P248" i="1"/>
  <c r="P247" i="1"/>
  <c r="P246" i="1"/>
  <c r="P245" i="1"/>
  <c r="P243" i="1"/>
  <c r="P242" i="1"/>
  <c r="D242" i="1"/>
  <c r="P241" i="1"/>
  <c r="D241" i="1"/>
  <c r="P240" i="1"/>
  <c r="D240" i="1"/>
  <c r="P239" i="1"/>
  <c r="D239" i="1"/>
  <c r="P238" i="1"/>
  <c r="D238" i="1"/>
  <c r="P237" i="1"/>
  <c r="D237" i="1"/>
  <c r="D236" i="1"/>
  <c r="P233" i="1"/>
  <c r="P232" i="1"/>
  <c r="P231" i="1"/>
  <c r="D231" i="1"/>
  <c r="P230" i="1"/>
  <c r="D230" i="1"/>
  <c r="P229" i="1"/>
  <c r="P228" i="1"/>
  <c r="P227" i="1"/>
  <c r="P226" i="1"/>
  <c r="D226" i="1"/>
  <c r="P225" i="1"/>
  <c r="D225" i="1"/>
  <c r="P224" i="1"/>
  <c r="D224" i="1"/>
  <c r="P223" i="1"/>
  <c r="D223" i="1"/>
  <c r="D219" i="1"/>
  <c r="D218" i="1"/>
  <c r="D217" i="1"/>
  <c r="D216" i="1"/>
  <c r="P212" i="1"/>
  <c r="D212" i="1"/>
  <c r="P211" i="1"/>
  <c r="D211" i="1"/>
  <c r="P210" i="1"/>
  <c r="D210" i="1"/>
  <c r="P209" i="1"/>
  <c r="D209" i="1"/>
  <c r="P208" i="1"/>
  <c r="P207" i="1"/>
  <c r="P206" i="1"/>
  <c r="P202" i="1"/>
  <c r="P201" i="1"/>
  <c r="P200" i="1"/>
  <c r="D200" i="1"/>
  <c r="P199" i="1"/>
  <c r="D199" i="1"/>
  <c r="P198" i="1"/>
  <c r="D198" i="1"/>
  <c r="P197" i="1"/>
  <c r="D197" i="1"/>
  <c r="P196" i="1"/>
  <c r="P195" i="1"/>
  <c r="P194" i="1"/>
  <c r="P193" i="1"/>
  <c r="D193" i="1"/>
  <c r="D192" i="1"/>
  <c r="D191" i="1"/>
  <c r="D190" i="1"/>
  <c r="P189" i="1"/>
  <c r="P188" i="1"/>
  <c r="P187" i="1"/>
  <c r="P186" i="1"/>
  <c r="D186" i="1"/>
  <c r="P185" i="1"/>
  <c r="D185" i="1"/>
  <c r="D184" i="1"/>
  <c r="P183" i="1"/>
  <c r="D183" i="1"/>
  <c r="P182" i="1"/>
  <c r="P181" i="1"/>
  <c r="P180" i="1"/>
  <c r="P179" i="1"/>
  <c r="D179" i="1"/>
  <c r="P178" i="1"/>
  <c r="D178" i="1"/>
  <c r="P177" i="1"/>
  <c r="D177" i="1"/>
  <c r="D176" i="1"/>
  <c r="P172" i="1"/>
  <c r="D172" i="1"/>
  <c r="P171" i="1"/>
  <c r="D171" i="1"/>
  <c r="P170" i="1"/>
  <c r="D170" i="1"/>
  <c r="P169" i="1"/>
  <c r="D169" i="1"/>
  <c r="P168" i="1"/>
  <c r="D168" i="1"/>
  <c r="P167" i="1"/>
  <c r="P166" i="1"/>
  <c r="P165" i="1"/>
  <c r="P164" i="1"/>
  <c r="P163" i="1"/>
  <c r="D163" i="1"/>
  <c r="P162" i="1"/>
  <c r="D162" i="1"/>
  <c r="D161" i="1"/>
  <c r="P158" i="1"/>
  <c r="P157" i="1"/>
  <c r="A157" i="1"/>
  <c r="P156" i="1"/>
  <c r="D156" i="1"/>
  <c r="P155" i="1"/>
  <c r="D155" i="1"/>
  <c r="P154" i="1"/>
  <c r="D154" i="1"/>
  <c r="P153" i="1"/>
  <c r="D153" i="1"/>
  <c r="D152" i="1"/>
  <c r="P151" i="1"/>
  <c r="P150" i="1"/>
  <c r="D150" i="1"/>
  <c r="P149" i="1"/>
  <c r="D149" i="1"/>
  <c r="P148" i="1"/>
  <c r="P147" i="1"/>
  <c r="P146" i="1"/>
  <c r="P145" i="1"/>
  <c r="C145" i="1"/>
  <c r="C157" i="1" s="1"/>
  <c r="B145" i="1"/>
  <c r="B157" i="1" s="1"/>
  <c r="D144" i="1"/>
  <c r="C144" i="1"/>
  <c r="B144" i="1"/>
  <c r="D143" i="1"/>
  <c r="C142" i="1"/>
  <c r="B142" i="1"/>
  <c r="A142" i="1"/>
  <c r="D141" i="1"/>
  <c r="P140" i="1"/>
  <c r="D140" i="1"/>
  <c r="P139" i="1"/>
  <c r="P138" i="1"/>
  <c r="P137" i="1"/>
  <c r="P136" i="1"/>
  <c r="C136" i="1"/>
  <c r="B136" i="1"/>
  <c r="P135" i="1"/>
  <c r="P134" i="1"/>
  <c r="D134" i="1"/>
  <c r="P133" i="1"/>
  <c r="D133" i="1"/>
  <c r="C133" i="1"/>
  <c r="B133" i="1"/>
  <c r="P132" i="1"/>
  <c r="D132" i="1"/>
  <c r="P131" i="1"/>
  <c r="D131" i="1"/>
  <c r="P127" i="1"/>
  <c r="D127" i="1"/>
  <c r="P126" i="1"/>
  <c r="D126" i="1"/>
  <c r="P125" i="1"/>
  <c r="D125" i="1"/>
  <c r="P124" i="1"/>
  <c r="C124" i="1"/>
  <c r="B124" i="1"/>
  <c r="P123" i="1"/>
  <c r="D123" i="1"/>
  <c r="P122" i="1"/>
  <c r="D122" i="1"/>
  <c r="P121" i="1"/>
  <c r="P120" i="1"/>
  <c r="P119" i="1"/>
  <c r="P118" i="1"/>
  <c r="D118" i="1"/>
  <c r="D136" i="1" s="1"/>
  <c r="D145" i="1" s="1"/>
  <c r="D157" i="1" s="1"/>
  <c r="C118" i="1"/>
  <c r="B118" i="1"/>
  <c r="P117" i="1"/>
  <c r="D116" i="1"/>
  <c r="D115" i="1"/>
  <c r="C115" i="1"/>
  <c r="B115" i="1"/>
  <c r="D114" i="1"/>
  <c r="P113" i="1"/>
  <c r="D113" i="1"/>
  <c r="D151" i="1" s="1"/>
  <c r="P112" i="1"/>
  <c r="P111" i="1"/>
  <c r="P110" i="1"/>
  <c r="P109" i="1"/>
  <c r="C109" i="1"/>
  <c r="B109" i="1"/>
  <c r="P108" i="1"/>
  <c r="D108" i="1"/>
  <c r="P107" i="1"/>
  <c r="D107" i="1"/>
  <c r="P106" i="1"/>
  <c r="D106" i="1"/>
  <c r="P105" i="1"/>
  <c r="D105" i="1"/>
  <c r="P104" i="1"/>
  <c r="D104" i="1"/>
  <c r="P100" i="1"/>
  <c r="P99" i="1"/>
  <c r="D99" i="1"/>
  <c r="P98" i="1"/>
  <c r="D98" i="1"/>
  <c r="P97" i="1"/>
  <c r="D97" i="1"/>
  <c r="A97" i="1"/>
  <c r="P96" i="1"/>
  <c r="D96" i="1"/>
  <c r="P95" i="1"/>
  <c r="D95" i="1"/>
  <c r="P94" i="1"/>
  <c r="P93" i="1"/>
  <c r="P92" i="1"/>
  <c r="P91" i="1"/>
  <c r="D91" i="1"/>
  <c r="D109" i="1" s="1"/>
  <c r="D90" i="1"/>
  <c r="D89" i="1"/>
  <c r="D88" i="1"/>
  <c r="C88" i="1"/>
  <c r="C97" i="1" s="1"/>
  <c r="C106" i="1" s="1"/>
  <c r="B88" i="1"/>
  <c r="B97" i="1" s="1"/>
  <c r="B106" i="1" s="1"/>
  <c r="P87" i="1"/>
  <c r="D87" i="1"/>
  <c r="P86" i="1"/>
  <c r="D86" i="1"/>
  <c r="P85" i="1"/>
  <c r="P84" i="1"/>
  <c r="P83" i="1"/>
  <c r="D82" i="1"/>
  <c r="C82" i="1"/>
  <c r="B82" i="1"/>
  <c r="D81" i="1"/>
  <c r="D80" i="1"/>
  <c r="D78" i="1"/>
  <c r="D77" i="1"/>
  <c r="D72" i="1"/>
  <c r="P71" i="1"/>
  <c r="D71" i="1"/>
  <c r="P70" i="1"/>
  <c r="D70" i="1"/>
  <c r="P69" i="1"/>
  <c r="D68" i="1"/>
  <c r="P67" i="1"/>
  <c r="P66" i="1"/>
  <c r="P65" i="1"/>
  <c r="P64" i="1"/>
  <c r="P63" i="1"/>
  <c r="D63" i="1"/>
  <c r="D62" i="1"/>
  <c r="D61" i="1"/>
  <c r="D60" i="1"/>
  <c r="D55" i="1"/>
  <c r="D54" i="1"/>
  <c r="D64" i="1" s="1"/>
  <c r="D53" i="1"/>
  <c r="D50" i="1"/>
  <c r="P48" i="1"/>
  <c r="P47" i="1"/>
  <c r="P46" i="1"/>
  <c r="D46" i="1"/>
  <c r="P45" i="1"/>
  <c r="P44" i="1"/>
  <c r="P42" i="1"/>
  <c r="D42" i="1"/>
  <c r="P41" i="1"/>
  <c r="D41" i="1"/>
  <c r="P40" i="1"/>
  <c r="P39" i="1"/>
  <c r="P38" i="1"/>
  <c r="P37" i="1"/>
  <c r="D37" i="1"/>
  <c r="P36" i="1"/>
  <c r="D36" i="1"/>
  <c r="D35" i="1"/>
  <c r="D34" i="1"/>
  <c r="P32" i="1"/>
  <c r="D32" i="1"/>
  <c r="P31" i="1"/>
  <c r="P30" i="1"/>
  <c r="P29" i="1"/>
  <c r="P28" i="1"/>
  <c r="D28" i="1"/>
  <c r="D27" i="1"/>
  <c r="P26" i="1"/>
  <c r="D26" i="1"/>
  <c r="P25" i="1"/>
  <c r="D25" i="1"/>
  <c r="P24" i="1"/>
  <c r="P23" i="1"/>
  <c r="D23" i="1"/>
  <c r="P22" i="1"/>
  <c r="AE21" i="1"/>
  <c r="P21" i="1"/>
  <c r="AE20" i="1"/>
  <c r="P20" i="1"/>
  <c r="AF19" i="1"/>
  <c r="AH19" i="1" s="1"/>
  <c r="AJ19" i="1" s="1"/>
  <c r="AE19" i="1"/>
  <c r="D19" i="1"/>
  <c r="AE18" i="1"/>
  <c r="D18" i="1"/>
  <c r="AE17" i="1"/>
  <c r="D17" i="1"/>
  <c r="AF16" i="1"/>
  <c r="AH16" i="1" s="1"/>
  <c r="AJ16" i="1" s="1"/>
  <c r="AQ16" i="1" s="1"/>
  <c r="AE16" i="1"/>
  <c r="AG16" i="1" s="1"/>
  <c r="P16" i="1"/>
  <c r="D16" i="1"/>
  <c r="AE15" i="1"/>
  <c r="P15" i="1"/>
  <c r="AF14" i="1"/>
  <c r="AH14" i="1" s="1"/>
  <c r="AJ14" i="1" s="1"/>
  <c r="AE14" i="1"/>
  <c r="P14" i="1"/>
  <c r="D14" i="1"/>
  <c r="AE13" i="1"/>
  <c r="P13" i="1"/>
  <c r="P12" i="1"/>
  <c r="AE11" i="1"/>
  <c r="AD11" i="1"/>
  <c r="AC12" i="1" s="1"/>
  <c r="AE12" i="1" s="1"/>
  <c r="AE10" i="1"/>
  <c r="P10" i="1"/>
  <c r="D10" i="1"/>
  <c r="AE9" i="1"/>
  <c r="P9" i="1"/>
  <c r="D9" i="1"/>
  <c r="AG8" i="1"/>
  <c r="AF8" i="1"/>
  <c r="AH8" i="1" s="1"/>
  <c r="AJ8" i="1" s="1"/>
  <c r="AQ8" i="1" s="1"/>
  <c r="AE8" i="1"/>
  <c r="P8" i="1"/>
  <c r="D8" i="1"/>
  <c r="AE7" i="1"/>
  <c r="P7" i="1"/>
  <c r="D7" i="1"/>
  <c r="AE6" i="1"/>
  <c r="P6" i="1"/>
  <c r="AF5" i="1"/>
  <c r="AH5" i="1" s="1"/>
  <c r="AJ5" i="1" s="1"/>
  <c r="AE5" i="1"/>
  <c r="AG5" i="1" s="1"/>
  <c r="P5" i="1"/>
  <c r="AF17" i="1" s="1"/>
  <c r="D5" i="1"/>
  <c r="D43" i="1" s="1"/>
  <c r="P4" i="1"/>
  <c r="AQ5" i="1" l="1"/>
  <c r="AH17" i="1"/>
  <c r="AJ17" i="1" s="1"/>
  <c r="AG17" i="1"/>
  <c r="AQ14" i="1"/>
  <c r="AQ19" i="1"/>
  <c r="AG7" i="1"/>
  <c r="AG12" i="1"/>
  <c r="AF11" i="1"/>
  <c r="AH11" i="1" s="1"/>
  <c r="AJ11" i="1" s="1"/>
  <c r="AG14" i="1"/>
  <c r="AG19" i="1"/>
  <c r="AF21" i="1"/>
  <c r="AH21" i="1" s="1"/>
  <c r="AJ21" i="1" s="1"/>
  <c r="AF13" i="1"/>
  <c r="AH13" i="1" s="1"/>
  <c r="AJ13" i="1" s="1"/>
  <c r="AF18" i="1"/>
  <c r="AF7" i="1"/>
  <c r="AH7" i="1" s="1"/>
  <c r="AJ7" i="1" s="1"/>
  <c r="AF10" i="1"/>
  <c r="AH10" i="1" s="1"/>
  <c r="AJ10" i="1" s="1"/>
  <c r="D142" i="1"/>
  <c r="AF15" i="1"/>
  <c r="AH15" i="1" s="1"/>
  <c r="AJ15" i="1" s="1"/>
  <c r="AF20" i="1"/>
  <c r="AH20" i="1" s="1"/>
  <c r="AJ20" i="1" s="1"/>
  <c r="AF12" i="1"/>
  <c r="AH12" i="1" s="1"/>
  <c r="AJ12" i="1" s="1"/>
  <c r="AF6" i="1"/>
  <c r="AF9" i="1"/>
  <c r="D124" i="1"/>
  <c r="AG20" i="1" l="1"/>
  <c r="AQ20" i="1" s="1"/>
  <c r="AG10" i="1"/>
  <c r="AQ10" i="1" s="1"/>
  <c r="AQ7" i="1"/>
  <c r="AH18" i="1"/>
  <c r="AJ18" i="1" s="1"/>
  <c r="AQ18" i="1" s="1"/>
  <c r="AG18" i="1"/>
  <c r="AG15" i="1"/>
  <c r="AQ15" i="1" s="1"/>
  <c r="AQ13" i="1"/>
  <c r="AQ17" i="1"/>
  <c r="AH9" i="1"/>
  <c r="AJ9" i="1" s="1"/>
  <c r="AQ9" i="1" s="1"/>
  <c r="AG9" i="1"/>
  <c r="AG13" i="1"/>
  <c r="AH6" i="1"/>
  <c r="AJ6" i="1" s="1"/>
  <c r="AG6" i="1"/>
  <c r="AG11" i="1"/>
  <c r="AQ11" i="1" s="1"/>
  <c r="AQ12" i="1"/>
  <c r="AG21" i="1"/>
  <c r="AQ21" i="1" s="1"/>
  <c r="AQ6" i="1" l="1"/>
</calcChain>
</file>

<file path=xl/sharedStrings.xml><?xml version="1.0" encoding="utf-8"?>
<sst xmlns="http://schemas.openxmlformats.org/spreadsheetml/2006/main" count="1851" uniqueCount="672">
  <si>
    <t>Heat Exchanger Breakdown — แยกตามเครื่อง (linked to 'Key Control')</t>
  </si>
  <si>
    <t>📋  UNIQUE TAGS — HX Breakdown  (100 tags, ไม่ซ้ำ)</t>
  </si>
  <si>
    <t>🛢️  Crude Property Mapping — Crude data ที่ใช้ใน Train Model แยกตาม HX</t>
  </si>
  <si>
    <t>(จาก Example Crude Property)</t>
  </si>
  <si>
    <t xml:space="preserve">📋  Input Data — HX Duty Calc    </t>
  </si>
  <si>
    <t>Tag (Parameter)</t>
  </si>
  <si>
    <t>Meaning / ความหมาย</t>
  </si>
  <si>
    <t>Value</t>
  </si>
  <si>
    <t>หมายเหตุ</t>
  </si>
  <si>
    <t>E101AB</t>
  </si>
  <si>
    <t>Preheat Exch-1</t>
  </si>
  <si>
    <t>HX Information + Phase</t>
  </si>
  <si>
    <t>🔴  HOT SIDE  —  เติมจาก Data Sheet</t>
  </si>
  <si>
    <t>🔵  COLD SIDE (Crude)  ← คำนวณจาก Crude Property</t>
  </si>
  <si>
    <t>🟢  METHOD 2 : Design Data  —  เติมจาก Data Sheet</t>
  </si>
  <si>
    <t>Remarks</t>
  </si>
  <si>
    <t>00FIC001.pv</t>
  </si>
  <si>
    <t>Flow GO (part — compound tag)</t>
  </si>
  <si>
    <t>Side / Stream</t>
  </si>
  <si>
    <t>Crude Cut  &amp;  T-Range</t>
  </si>
  <si>
    <t>Parameter  —  คำอธิบาย</t>
  </si>
  <si>
    <t>Role / สถานะ</t>
  </si>
  <si>
    <t>HX
Tag</t>
  </si>
  <si>
    <t>Service</t>
  </si>
  <si>
    <t>Hot
Fluid</t>
  </si>
  <si>
    <t>Phase?</t>
  </si>
  <si>
    <t>T_c_in
(°C)</t>
  </si>
  <si>
    <t>T_c_out
(°C)</t>
  </si>
  <si>
    <t>T_avg
(°C)</t>
  </si>
  <si>
    <t>Cp/h_lat
(kJ/kg·°C)</t>
  </si>
  <si>
    <t>Density
(kg/m³)</t>
  </si>
  <si>
    <t>Flow
(Tag)</t>
  </si>
  <si>
    <t>Mass Flow
(kg/s)</t>
  </si>
  <si>
    <t>SG crude
@ 15.6°C</t>
  </si>
  <si>
    <t>U_service
(W/m²·°C)</t>
  </si>
  <si>
    <t>Area A
/Train (m²)</t>
  </si>
  <si>
    <t>No.
Shells</t>
  </si>
  <si>
    <t>Tube
Passes</t>
  </si>
  <si>
    <t>U</t>
  </si>
  <si>
    <t>Q = m · Cp · ΔT
(Cold side)</t>
  </si>
  <si>
    <t>Q = m · Cp · ΔT
(Hot side)</t>
  </si>
  <si>
    <t>Q=U · A · ΔTm</t>
  </si>
  <si>
    <t>Parameter</t>
  </si>
  <si>
    <t>Meaning</t>
  </si>
  <si>
    <t>00FIC501.pv</t>
  </si>
  <si>
    <t>Outlet Flow Hot side kero (part — compound tag)</t>
  </si>
  <si>
    <t>Cold (Crude)</t>
  </si>
  <si>
    <t>Whole Crude  ~30 → 94°C</t>
  </si>
  <si>
    <t>API (none)  —  ดัชนีความเบา  (141.5/SG−131.5)  ASTM D287</t>
  </si>
  <si>
    <t>Feature (Core)</t>
  </si>
  <si>
    <t>kJ/kg·°C</t>
  </si>
  <si>
    <t>kg/m³</t>
  </si>
  <si>
    <t>m³/h or t/h</t>
  </si>
  <si>
    <t>kg/s</t>
  </si>
  <si>
    <t>°C</t>
  </si>
  <si>
    <t>W/m²·°C</t>
  </si>
  <si>
    <t>m²</t>
  </si>
  <si>
    <t>—</t>
  </si>
  <si>
    <t>kW</t>
  </si>
  <si>
    <t>Cold (Crude oil)</t>
  </si>
  <si>
    <t>1FI007.pv</t>
  </si>
  <si>
    <t>Inlet flow Cold side</t>
  </si>
  <si>
    <t>1AI001.pv</t>
  </si>
  <si>
    <t>Air Component — O2 / Composition (Flue gas)</t>
  </si>
  <si>
    <t>%O2</t>
  </si>
  <si>
    <t>SG at 15.6°C  —  ความถ่วงจำเพาะ  ASTM D1298</t>
  </si>
  <si>
    <t>3E-101AB</t>
  </si>
  <si>
    <t>Preheat-1</t>
  </si>
  <si>
    <t>1SR</t>
  </si>
  <si>
    <t>Liq</t>
  </si>
  <si>
    <t>T_c: 37.4→94.4°C</t>
  </si>
  <si>
    <t>1TI102</t>
  </si>
  <si>
    <t>Inlet Temp Cold side</t>
  </si>
  <si>
    <t>1FC020.pv</t>
  </si>
  <si>
    <t>Flow Pass 1 (Furnace)</t>
  </si>
  <si>
    <t>t/h</t>
  </si>
  <si>
    <t>Viscosity at 50°C (cSt)  —  ความหนืดจลน์  ASTM D445</t>
  </si>
  <si>
    <t>3E-101C</t>
  </si>
  <si>
    <t>Series กับ 101D | T_c: 37.4→97.1°C | ตรวจ T_int</t>
  </si>
  <si>
    <t>1TI101.pv</t>
  </si>
  <si>
    <t>Outlet temp Cold side</t>
  </si>
  <si>
    <t>1FC021.pv</t>
  </si>
  <si>
    <t>Flow Pass 2 (Furnace)</t>
  </si>
  <si>
    <t>Viscosity at 100°C (cSt)  —  ความหนืดจลน์  ASTM D445</t>
  </si>
  <si>
    <t>3E-101D</t>
  </si>
  <si>
    <t>Series กับ 101C | T_c: 37.4→97.1°C | ตรวจ T_int</t>
  </si>
  <si>
    <t>Hot (1SR)</t>
  </si>
  <si>
    <t>1TI194.pv</t>
  </si>
  <si>
    <t>Inlet temp Hot side (shared E101)</t>
  </si>
  <si>
    <t>1FC022.pv</t>
  </si>
  <si>
    <t>Flow Pass 3 (Furnace)</t>
  </si>
  <si>
    <t>Sulphur, Total (% wgt)  —  กำมะถันรวม  ASTM D4294 (XRF)</t>
  </si>
  <si>
    <t>3E-101E</t>
  </si>
  <si>
    <t>Series กับ 101F | T_c: 37.4→83.8°C | ตรวจ T_int</t>
  </si>
  <si>
    <t>1TI103.pv</t>
  </si>
  <si>
    <t>Outlet temp Hot side</t>
  </si>
  <si>
    <t>1FC023.pv</t>
  </si>
  <si>
    <t>Flow Pass 4 (Furnace)</t>
  </si>
  <si>
    <t>Asphaltenes (C7) (% wgt)  —  Asphaltene ใน n-C7  บ่ง fouling tendency</t>
  </si>
  <si>
    <t>Feature (Optional)</t>
  </si>
  <si>
    <t>3E-101F</t>
  </si>
  <si>
    <t>Series กับ 101E | T_c: 37.4→83.8°C | ตรวจ T_int</t>
  </si>
  <si>
    <t>1FI010.pv</t>
  </si>
  <si>
    <t>Inlet flow Hot side</t>
  </si>
  <si>
    <t>1FC035.pv</t>
  </si>
  <si>
    <t>Flow 3RS out E111 / Inlet E105AB</t>
  </si>
  <si>
    <t>Carbon Residue MCRT (% wgt)  —  กากคาร์บอนหลังเผา  ASTM D4530</t>
  </si>
  <si>
    <t>3E-102</t>
  </si>
  <si>
    <t>Preheat-1 Kero</t>
  </si>
  <si>
    <t>Kerosene</t>
  </si>
  <si>
    <t>N/A</t>
  </si>
  <si>
    <t>T_c: 91.6→99.7°C | Hot: 1FC055+00FIC501</t>
  </si>
  <si>
    <t>1FC062.pv</t>
  </si>
  <si>
    <t>Flow GO (part — compound tag with 00FIC001)</t>
  </si>
  <si>
    <t>Salt (PTB)  —  เกลือ NaCl/MgCl2/CaCl2  ต้องกำจัดก่อนกลั่น</t>
  </si>
  <si>
    <t>3E-103AB</t>
  </si>
  <si>
    <t>Preheat-2</t>
  </si>
  <si>
    <t>2RS-1</t>
  </si>
  <si>
    <t>⚠️ T_c_out=28.5°C (tag error?) T_avg anomalous</t>
  </si>
  <si>
    <t>E101CD</t>
  </si>
  <si>
    <t>Inlet flow Cold side (Crude) E101AB</t>
  </si>
  <si>
    <t>m³/h</t>
  </si>
  <si>
    <t>Cut (100–145°C)  116 → 92°C</t>
  </si>
  <si>
    <t>3E-104</t>
  </si>
  <si>
    <t>2RS</t>
  </si>
  <si>
    <t>⚠️ T_c_in=28.5°C (จาก E103AB anomaly) | T_c_out=181.5°C</t>
  </si>
  <si>
    <t>1FI008.pv</t>
  </si>
  <si>
    <t>Inlet flow Cold side (Crude) E101CD</t>
  </si>
  <si>
    <t>3E-105AB</t>
  </si>
  <si>
    <t>3RS</t>
  </si>
  <si>
    <t>T_c: 181.5→~196°C (est.) | ⚠️ ตรวจ tag 1TI114</t>
  </si>
  <si>
    <t>1FI009.pv</t>
  </si>
  <si>
    <t>Inlet flow Cold side (Crude) E101EF</t>
  </si>
  <si>
    <t>3E-106AB</t>
  </si>
  <si>
    <t>2RS-2</t>
  </si>
  <si>
    <t>T_c: 95.3→144.1°C</t>
  </si>
  <si>
    <t>Inlet flow Hot side (1SR) E101AB</t>
  </si>
  <si>
    <t>3E-107AB</t>
  </si>
  <si>
    <t>Preheat-2 (GO)</t>
  </si>
  <si>
    <t>Gas Oil (GO)</t>
  </si>
  <si>
    <t>✅ DS 3E-107A(N),B(N) | T_c: 144.1→173.3°C</t>
  </si>
  <si>
    <t>1TI104.pv</t>
  </si>
  <si>
    <t>1FI011.pv</t>
  </si>
  <si>
    <t>Inlet flow Hot side (1SR) E101CD</t>
  </si>
  <si>
    <t>3E-108AB</t>
  </si>
  <si>
    <t>Residue</t>
  </si>
  <si>
    <t>T_c: 173.3→210.1°C</t>
  </si>
  <si>
    <t>1FI012.pv</t>
  </si>
  <si>
    <t>Inlet flow Hot side (1SR) E101EF</t>
  </si>
  <si>
    <t>3E-109ABC</t>
  </si>
  <si>
    <t>T_c: 210.1→230.5°C | 3 Shells — ยืนยัน Area A</t>
  </si>
  <si>
    <t>1TI105.pv</t>
  </si>
  <si>
    <t>1FI015.pv</t>
  </si>
  <si>
    <t>Inlet flow Crude E103AB / E104 / E105AB</t>
  </si>
  <si>
    <t>3E-110ABC</t>
  </si>
  <si>
    <t>T_c: 95.3→173.4°C | 3 Shells</t>
  </si>
  <si>
    <t>1FI016.pv</t>
  </si>
  <si>
    <t>Inlet flow Crude E106AB / E107AB / E108AB / E109AB</t>
  </si>
  <si>
    <t>3E-111</t>
  </si>
  <si>
    <t>T_c: 173.4→183.3°C</t>
  </si>
  <si>
    <t>1FI017.pv</t>
  </si>
  <si>
    <t>Inlet flow Crude E110ABC / E111 / E112AB / E112C</t>
  </si>
  <si>
    <t>Whole Crude  ~30 → 97°C</t>
  </si>
  <si>
    <t>3E-112AB</t>
  </si>
  <si>
    <t>T_c: 183.3→243.0°C | ⚠️ Residue outlet=35.4°C (1TI127 fault?)</t>
  </si>
  <si>
    <t>E101EF</t>
  </si>
  <si>
    <t>1FI018.pv</t>
  </si>
  <si>
    <t>Inlet flow 2RS-1 (E103AB / E104)</t>
  </si>
  <si>
    <t>3E-113A</t>
  </si>
  <si>
    <t>Preheat-2 (Res)</t>
  </si>
  <si>
    <t>T_c: 239.2→258.1°C | CIT→Furnace | Hot: 439FI003</t>
  </si>
  <si>
    <t>1FI019.pv</t>
  </si>
  <si>
    <t>Inlet flow 2RS-2 (E106AB)</t>
  </si>
  <si>
    <t>1FI028.pv</t>
  </si>
  <si>
    <t>Flow Fuel Gas to burners (F101)</t>
  </si>
  <si>
    <t>1FC055.pv</t>
  </si>
  <si>
    <t>Outlet Flow Hot side Kero E102 (part — compound tag with 00FIC501)</t>
  </si>
  <si>
    <t>1TI109.pv</t>
  </si>
  <si>
    <t>1FI085.pv</t>
  </si>
  <si>
    <t>Inlet flow Cold side (Crude) E101G</t>
  </si>
  <si>
    <t>1FI086.pv</t>
  </si>
  <si>
    <t>Inlet flow Hot side (1SR) E101G</t>
  </si>
  <si>
    <t>1TI110.pv</t>
  </si>
  <si>
    <t>1HC016.pv</t>
  </si>
  <si>
    <t>Hand Valve Hot side E101G</t>
  </si>
  <si>
    <t>%</t>
  </si>
  <si>
    <t>1PC010.pv</t>
  </si>
  <si>
    <t>Pressure Inlet Fuel Gas (FG line)</t>
  </si>
  <si>
    <t>kg/cm²g</t>
  </si>
  <si>
    <t>Cut (100–145°C)  116 → 93°C</t>
  </si>
  <si>
    <t>1PC034.pv</t>
  </si>
  <si>
    <t>Pressure Control — Furnace Draft</t>
  </si>
  <si>
    <t>mmH2O</t>
  </si>
  <si>
    <t>E101G</t>
  </si>
  <si>
    <t>1PC035.pv</t>
  </si>
  <si>
    <t>Pressure Inlet Combustion Air</t>
  </si>
  <si>
    <t>No information</t>
  </si>
  <si>
    <t>1PI003.pv</t>
  </si>
  <si>
    <t>Pressure Inlet Furnace (from E113A)</t>
  </si>
  <si>
    <t>1PI023.pv</t>
  </si>
  <si>
    <t>Outlet Pressure Furnace</t>
  </si>
  <si>
    <t>1PI055.pv</t>
  </si>
  <si>
    <t>Inlet pressure Residue at E113A</t>
  </si>
  <si>
    <t>1TI015.pv</t>
  </si>
  <si>
    <t>1PI056.pv</t>
  </si>
  <si>
    <t>Outlet pressure after mix (E113A)</t>
  </si>
  <si>
    <t>1TC007.pv</t>
  </si>
  <si>
    <t>COT — Outlet Temp Furnace (Control setpoint)</t>
  </si>
  <si>
    <t>Hand Valve Hot side</t>
  </si>
  <si>
    <t>Outlet temp Cold side E101G</t>
  </si>
  <si>
    <t>Whole Crude  ~30 → 84°C</t>
  </si>
  <si>
    <t>1TI029.pv</t>
  </si>
  <si>
    <t>SL Flow / Radiation measurement F101</t>
  </si>
  <si>
    <t>Outlet temp Cold side (Crude) E101AB</t>
  </si>
  <si>
    <t>E102</t>
  </si>
  <si>
    <t>Inlet Temp Cold side (Crude) — Tank outlet</t>
  </si>
  <si>
    <t>°C — ไม่มี .pv</t>
  </si>
  <si>
    <t>Outlet temp Hot side (1SR) E101AB</t>
  </si>
  <si>
    <t>1TI107.pv</t>
  </si>
  <si>
    <t>Inlet temp Cold side</t>
  </si>
  <si>
    <t>Outlet temp Cold side (Crude) E101CD</t>
  </si>
  <si>
    <t>1TI106.pv</t>
  </si>
  <si>
    <t>Outlet temp Hot side (1SR) E101CD</t>
  </si>
  <si>
    <t>1FI005</t>
  </si>
  <si>
    <t>Inlet Flow Colde side</t>
  </si>
  <si>
    <t>Outlet temp Cold side (Crude) E102</t>
  </si>
  <si>
    <t>Hot</t>
  </si>
  <si>
    <t>1TI165.pv</t>
  </si>
  <si>
    <t>Inlet temp Hot side kero</t>
  </si>
  <si>
    <t>Inlet temp Cold side (Crude) E102</t>
  </si>
  <si>
    <t>Cut (100–145°C)  116 → 89°C</t>
  </si>
  <si>
    <t>1TI108.pv</t>
  </si>
  <si>
    <t>Outlet Temp Hot side kero</t>
  </si>
  <si>
    <t>Outlet Temp Hot side Kero E102</t>
  </si>
  <si>
    <t>1FC055.pv+00FIC501.pv</t>
  </si>
  <si>
    <t>Outlet Flow Hot side kero</t>
  </si>
  <si>
    <t>Outlet temp Cold side (Crude) E101EF</t>
  </si>
  <si>
    <t>Outlet temp Hot side (1SR) E101EF</t>
  </si>
  <si>
    <t>E103AB</t>
  </si>
  <si>
    <t>Preheat Exch-2</t>
  </si>
  <si>
    <t>1TI112.pv</t>
  </si>
  <si>
    <t>Outlet temp Crude E104 / Inlet E105AB</t>
  </si>
  <si>
    <t>1TI113.pv</t>
  </si>
  <si>
    <t>Outlet temp 3RS E105AB / Inlet E111</t>
  </si>
  <si>
    <t>Inlet flow Crude</t>
  </si>
  <si>
    <t>1TI114.pv</t>
  </si>
  <si>
    <t>Outlet temp Crude E105AB / E112C</t>
  </si>
  <si>
    <t>E101G  ⚠️</t>
  </si>
  <si>
    <t>Preheat Exch-1  ⚠️ OFFLINE / Bypass</t>
  </si>
  <si>
    <t>1TI225.pv</t>
  </si>
  <si>
    <t>Inlet temp Crude</t>
  </si>
  <si>
    <t>1TI115.pv</t>
  </si>
  <si>
    <t>Inlet temp Crude at E113A</t>
  </si>
  <si>
    <t>1TI136.pv</t>
  </si>
  <si>
    <t>Outlet temp Crude (-&gt;Inlet E104)</t>
  </si>
  <si>
    <t>1TI116.pv</t>
  </si>
  <si>
    <t>CIT — Outlet Crude E113A / Inlet Furnace</t>
  </si>
  <si>
    <t>Cold (Crude)  ⚠️</t>
  </si>
  <si>
    <t>Whole Crude  ~30→36°C  (1FI085=−133 m³/h)</t>
  </si>
  <si>
    <t>⚠️ OFFLINE — Filter ออกก่อน Train</t>
  </si>
  <si>
    <t>⚠️ OFFLINE</t>
  </si>
  <si>
    <t>Hot (2RS-1)</t>
  </si>
  <si>
    <t>4TI107.pv</t>
  </si>
  <si>
    <t>Inlet temp 2RS</t>
  </si>
  <si>
    <t>1TI117.pv</t>
  </si>
  <si>
    <t>Inlet temp Residue (hot side)</t>
  </si>
  <si>
    <t>Inlet flow 2RS-1</t>
  </si>
  <si>
    <t>1TI117B.pv</t>
  </si>
  <si>
    <t>Outlet temp Residue E112C</t>
  </si>
  <si>
    <t>1TI137.pv</t>
  </si>
  <si>
    <t>Outlet temp 2RS-1</t>
  </si>
  <si>
    <t>1TI122.pv</t>
  </si>
  <si>
    <t>Outlet temp Residue E110ABC</t>
  </si>
  <si>
    <t>1TI123.pv</t>
  </si>
  <si>
    <t>Outlet temp Crude E111 / Inlet E112AB/E112C</t>
  </si>
  <si>
    <t>Hot (1SR)  ⚠️</t>
  </si>
  <si>
    <t>Cut (100–145°C)  (1HC015=−6.9%)</t>
  </si>
  <si>
    <t>E104</t>
  </si>
  <si>
    <t>1TI124.pv</t>
  </si>
  <si>
    <t>Outlet temp Crude E110ABC / Inlet E111</t>
  </si>
  <si>
    <t>1TI125.pv</t>
  </si>
  <si>
    <t>Outlet temp 3RS E111</t>
  </si>
  <si>
    <t>Inlet temp Crude (from E103AB)</t>
  </si>
  <si>
    <t>1TI126.pv</t>
  </si>
  <si>
    <t>Outlet temp Crude E112AB</t>
  </si>
  <si>
    <t>Outlet temp Crude (-&gt;Inlet E105AB)</t>
  </si>
  <si>
    <t>1TI127.pv</t>
  </si>
  <si>
    <t>Outlet temp Residue E112AB</t>
  </si>
  <si>
    <t>1TI128.pv</t>
  </si>
  <si>
    <t>Outlet temp Crude E106AB / Inlet E107AB</t>
  </si>
  <si>
    <t>E102  ⚠️</t>
  </si>
  <si>
    <t>Preheat Exch-1/2 (ก่อน Desalter)  ⚠️ Hot stream ยังไม่ระบุ</t>
  </si>
  <si>
    <t>Hot (2RS)</t>
  </si>
  <si>
    <t>1TI195.pv</t>
  </si>
  <si>
    <t>1TI129.pv</t>
  </si>
  <si>
    <t>Outlet temp 2RS-2 E106AB</t>
  </si>
  <si>
    <t>4TI115.pv</t>
  </si>
  <si>
    <t>Outlet temp 2RS</t>
  </si>
  <si>
    <t>1TI130.pv</t>
  </si>
  <si>
    <t>Outlet temp Crude E107AB / Inlet E108AB</t>
  </si>
  <si>
    <t>Whole Crude + Cut(81–100°C)  ~91 → 99°C</t>
  </si>
  <si>
    <t>1FI018.pv+1FI019.pv</t>
  </si>
  <si>
    <t>inlet flow 2SR from P104</t>
  </si>
  <si>
    <t>1TI131.pv</t>
  </si>
  <si>
    <t>Outlet temp GO E107AB</t>
  </si>
  <si>
    <t>1TI132.pv</t>
  </si>
  <si>
    <t>Outlet temp Crude E108AB / Inlet E109AB</t>
  </si>
  <si>
    <t>E105AB</t>
  </si>
  <si>
    <t>1TI133.pv</t>
  </si>
  <si>
    <t>Outlet temp Residue E108AB</t>
  </si>
  <si>
    <t>1TI134.pv</t>
  </si>
  <si>
    <t>Outlet temp Crude E109AB</t>
  </si>
  <si>
    <t>Inlet temp Crude (from E104)</t>
  </si>
  <si>
    <t>1TI135.pv</t>
  </si>
  <si>
    <t>Outlet temp GO E109AB / Inlet E107AB</t>
  </si>
  <si>
    <t>1TI114</t>
  </si>
  <si>
    <t>outlet temp E105AB</t>
  </si>
  <si>
    <t>Outlet temp Crude E103AB / Inlet E104</t>
  </si>
  <si>
    <t>Hot (⚠️ ไม่ระบุ)</t>
  </si>
  <si>
    <t>Cut (235–370°C) ?  ~243°C  (1TI126)  [ยังไม่ยืนยัน]</t>
  </si>
  <si>
    <t>⚠️ ตรวจ P&amp;ID ก่อนกำหนด Cut สุดท้าย</t>
  </si>
  <si>
    <t>Outlet temp 2RS-1 E103AB</t>
  </si>
  <si>
    <t>Hot (3RS)</t>
  </si>
  <si>
    <t>Inlet temp 3RS</t>
  </si>
  <si>
    <t>1TI139.pv</t>
  </si>
  <si>
    <t>Temp 4-1 Tube Furnace Pass 4</t>
  </si>
  <si>
    <t>Outlet temp 3RS (-&gt;Inlet E111)</t>
  </si>
  <si>
    <t>1TI140.pv</t>
  </si>
  <si>
    <t>Temp 3-1 Tube Furnace Pass 3</t>
  </si>
  <si>
    <t>Flow out E111/flow in E105AB</t>
  </si>
  <si>
    <t>1TI141.pv</t>
  </si>
  <si>
    <t>Temp 2-1 Tube Furnace Pass 2</t>
  </si>
  <si>
    <t>E103AB  ⚠️</t>
  </si>
  <si>
    <t>Preheat Exch-2  Stream A จาก Desalter  ⚠️ Crude outlet T ผิดปกติ</t>
  </si>
  <si>
    <t>1TI142.pv</t>
  </si>
  <si>
    <t>Temp 1-1 Tube Furnace Pass 1</t>
  </si>
  <si>
    <t>E106AB</t>
  </si>
  <si>
    <t>1TI143.pv</t>
  </si>
  <si>
    <t>Temp 2-3 Tube Furnace Pass 2</t>
  </si>
  <si>
    <t>Whole Crude  ~95°C → 28.53°C  ⚠️ 1TI136 ผิดปกติ!</t>
  </si>
  <si>
    <t>⚠️ 1TI136=28.53°C ต่ำกว่า Desalter — Filter ออก</t>
  </si>
  <si>
    <t>⚠️ FILTER</t>
  </si>
  <si>
    <t>1TI144.pv</t>
  </si>
  <si>
    <t>Temp 3-3 Tube Furnace Pass 3</t>
  </si>
  <si>
    <t>1TI145.pv</t>
  </si>
  <si>
    <t>Temp 4-2 Tube Furnace Pass 4</t>
  </si>
  <si>
    <t>Outlet temp Crude (-&gt;Inlet E107AB)</t>
  </si>
  <si>
    <t>1TI146.pv</t>
  </si>
  <si>
    <t>Temp 3-2 Tube Furnace Pass 3</t>
  </si>
  <si>
    <t>1TI147.pv</t>
  </si>
  <si>
    <t>SHL temp furnace</t>
  </si>
  <si>
    <t>Hot (2RS-2)</t>
  </si>
  <si>
    <t>Inlet flow 2RS-2</t>
  </si>
  <si>
    <t>1TI148.pv</t>
  </si>
  <si>
    <t>Temp 1-3 Tube Furnace Pass 1</t>
  </si>
  <si>
    <t>Outlet temp 2RS-2</t>
  </si>
  <si>
    <t>1TI149.pv</t>
  </si>
  <si>
    <t>Temp 4-3 Tube Furnace Pass 4</t>
  </si>
  <si>
    <t>1TI150.pv</t>
  </si>
  <si>
    <t>COT — Outlet Temp Furnace</t>
  </si>
  <si>
    <t>1TI151.pv</t>
  </si>
  <si>
    <t>Temp 1-2 Tube Furnace Pass 1</t>
  </si>
  <si>
    <t>Cut (145–235°C)  156.93 → 109°C</t>
  </si>
  <si>
    <t>E107AB</t>
  </si>
  <si>
    <t>1TI152.pv</t>
  </si>
  <si>
    <t>Temp 2-2 Tube Furnace Pass 2</t>
  </si>
  <si>
    <t>1TI153.pv</t>
  </si>
  <si>
    <t>Temp Top Furnace</t>
  </si>
  <si>
    <t>Inlet temp Crude (from E106AB)</t>
  </si>
  <si>
    <t>1TI161.pv</t>
  </si>
  <si>
    <t>Temp From Distillation (Residue inlet)</t>
  </si>
  <si>
    <t>Outlet temp Crude (-&gt;Inlet E108AB)</t>
  </si>
  <si>
    <t>1TI163.pv</t>
  </si>
  <si>
    <t>Inlet temp GO E109AB</t>
  </si>
  <si>
    <t>Inlet temp Hot side Kero E102</t>
  </si>
  <si>
    <t>Hot (GO)</t>
  </si>
  <si>
    <t>Inlet temp GO (from E109AB)</t>
  </si>
  <si>
    <t>1TI182.pv</t>
  </si>
  <si>
    <t>Inlet temp Air Con (out Furnace)</t>
  </si>
  <si>
    <t>Outlet temp GO</t>
  </si>
  <si>
    <t>1TI183.pv</t>
  </si>
  <si>
    <t>Outlet temp Air Fuel E151</t>
  </si>
  <si>
    <t>00FIC001.pv+1FC062.pv</t>
  </si>
  <si>
    <t xml:space="preserve">Flow GO </t>
  </si>
  <si>
    <t>1TI184.pv</t>
  </si>
  <si>
    <t>Temp In F101 (to burners)</t>
  </si>
  <si>
    <t>Whole Crude + Cut(145–235°C)  ~28 → 181°C</t>
  </si>
  <si>
    <t>1TI185.pv</t>
  </si>
  <si>
    <t>Inlet temp Air Fuel E151 (ambient)</t>
  </si>
  <si>
    <t>E108AB</t>
  </si>
  <si>
    <t>Inlet temp Hot side 1SR E101 (shared AB-CD-EF-G)</t>
  </si>
  <si>
    <t>Inlet temp 2RS/3RS (E104 / E105AB)</t>
  </si>
  <si>
    <t>Inlet temp Crude (from E107AB)</t>
  </si>
  <si>
    <t>1TI204.pv</t>
  </si>
  <si>
    <t>Temp Top Radiation Section F101</t>
  </si>
  <si>
    <t>Outlet temp Crude (-&gt;Inlet E109AB)</t>
  </si>
  <si>
    <t>1TI211.pv</t>
  </si>
  <si>
    <t>Outlet temp Air Con E151</t>
  </si>
  <si>
    <t>Cut (145–235°C)  222.4 → 177°C</t>
  </si>
  <si>
    <t>1TI212.pv</t>
  </si>
  <si>
    <t>Temp Furnace Body 1</t>
  </si>
  <si>
    <t>Hot (Residue)</t>
  </si>
  <si>
    <t>Outlet temp Residue</t>
  </si>
  <si>
    <t>1TI213.pv</t>
  </si>
  <si>
    <t>Temp Furnace Body 2</t>
  </si>
  <si>
    <t>Inlet Temp Residue</t>
  </si>
  <si>
    <t>Desalter Outlet Crude / Preheat-2 Inlet</t>
  </si>
  <si>
    <t>439FI003.pv</t>
  </si>
  <si>
    <t>Flow Residue</t>
  </si>
  <si>
    <t>Inlet temp 2RS (from E404/E401)</t>
  </si>
  <si>
    <t>E109AB</t>
  </si>
  <si>
    <t>Outlet temp 2RS E104</t>
  </si>
  <si>
    <t>1TI138.pv</t>
  </si>
  <si>
    <t>Temp for SR mix (2RS blend after E103/E106)</t>
  </si>
  <si>
    <t>Inlet temp Crude (from E108AB)</t>
  </si>
  <si>
    <t>Whole Crude + Cut(145–235°C)  ~181 → 242°C</t>
  </si>
  <si>
    <t>Outlet temp Crude</t>
  </si>
  <si>
    <t>⚠️  TAGS ใน Key Control ที่ไม่มีใน HX Breakdown  (26 tags — ต้องพิจารณาเพิ่ม)</t>
  </si>
  <si>
    <t>Unit</t>
  </si>
  <si>
    <t>Inlet temp GO</t>
  </si>
  <si>
    <t>1E1005.pv</t>
  </si>
  <si>
    <t>Electrostatic Grid Current/Power 1 (Desalter)</t>
  </si>
  <si>
    <t>A / mA</t>
  </si>
  <si>
    <t>Outlet temp GO (-&gt;Inlet E107AB)</t>
  </si>
  <si>
    <t>1E1006.pv</t>
  </si>
  <si>
    <t>Electrostatic Grid Current/Power 2 (Desalter)</t>
  </si>
  <si>
    <t>1FC001.pv</t>
  </si>
  <si>
    <t>Flow line Tank 1 (Crude feed)</t>
  </si>
  <si>
    <t>Cut (145–235°C)  222.4 → 196°C</t>
  </si>
  <si>
    <t>1FC002.pv</t>
  </si>
  <si>
    <t>Flow line Tank 2 (Crude feed)</t>
  </si>
  <si>
    <t>E110ABC</t>
  </si>
  <si>
    <t>1FC106.pv</t>
  </si>
  <si>
    <t>Effluent Water Flow from P125 (Desalter)</t>
  </si>
  <si>
    <t>1FC107.pv</t>
  </si>
  <si>
    <t>Mud Wash Out Flow (Desalter)</t>
  </si>
  <si>
    <t>1FC125.pv</t>
  </si>
  <si>
    <t>Injection / Dilution Water Flow (Desalter)</t>
  </si>
  <si>
    <t>Outlet temp Crude (-&gt;Inlet E111)</t>
  </si>
  <si>
    <t>1FV001</t>
  </si>
  <si>
    <t>Control Valve line tank 1 (Crude Tank)</t>
  </si>
  <si>
    <t>1FV002</t>
  </si>
  <si>
    <t>Control Valve line tank 2 (Crude Tank)</t>
  </si>
  <si>
    <t>Preheat Exch-2  Stream B จาก Desalter</t>
  </si>
  <si>
    <t>1HC002.pv</t>
  </si>
  <si>
    <t>Hand Valve Cold side E101AB</t>
  </si>
  <si>
    <t>1HC003.pv</t>
  </si>
  <si>
    <t>Hand Valve Cold side E101CD</t>
  </si>
  <si>
    <t>Whole Crude  ~95 → 144°C</t>
  </si>
  <si>
    <t>1HC004.pv</t>
  </si>
  <si>
    <t>Hand Valve Cold side E101EF</t>
  </si>
  <si>
    <t>1HC005.pv</t>
  </si>
  <si>
    <t>Hand Valve Hot side E101AB</t>
  </si>
  <si>
    <t>E111</t>
  </si>
  <si>
    <t>1HC006.pv</t>
  </si>
  <si>
    <t>Hand Valve Hot side E101CD</t>
  </si>
  <si>
    <t>1HC007.pv</t>
  </si>
  <si>
    <t>Hand Valve Hot side E101EF</t>
  </si>
  <si>
    <t>Inlet temp Crude (from E110ABC)</t>
  </si>
  <si>
    <t>1HC015.pv</t>
  </si>
  <si>
    <t>Hand Valve Cold side E101G</t>
  </si>
  <si>
    <t>Outlet temp Crude (-&gt;E112AB/E112C)</t>
  </si>
  <si>
    <t>1LC104.pv</t>
  </si>
  <si>
    <t>Treated Crude Level Control (Desalter)</t>
  </si>
  <si>
    <t>Cut (145–235°C)  156.93 → 119°C</t>
  </si>
  <si>
    <t>1LI105.pv</t>
  </si>
  <si>
    <t>Desalter Interface / Liquid Level</t>
  </si>
  <si>
    <t>Inlet temp 3RS (from E105AB)</t>
  </si>
  <si>
    <t>1PC128.pv</t>
  </si>
  <si>
    <t>Pressure Treated Crude (Desalter Outlet)</t>
  </si>
  <si>
    <t>bar</t>
  </si>
  <si>
    <t>Outlet temp 3RS</t>
  </si>
  <si>
    <t>1PDC103.pv</t>
  </si>
  <si>
    <t>Mixing Valve Differential Pressure (Desalter)</t>
  </si>
  <si>
    <t>Outlet flow 3RS</t>
  </si>
  <si>
    <t>1PI061.pv</t>
  </si>
  <si>
    <t>Pressure out E112AB (Residue)</t>
  </si>
  <si>
    <t>kg/cm²</t>
  </si>
  <si>
    <t>1PI129A-B-C.pv</t>
  </si>
  <si>
    <t>Pressure Inlet Pump P102A (Desalter outlet pump)</t>
  </si>
  <si>
    <t>E112AB</t>
  </si>
  <si>
    <t>1PT007A.pv</t>
  </si>
  <si>
    <t>Pressure Transmitter — Residue</t>
  </si>
  <si>
    <t>Preheat Exch-2 (Crude + GO)</t>
  </si>
  <si>
    <t>1XI156.pv</t>
  </si>
  <si>
    <t>Electrostatic Transformer 1 Parameter (Desalter)</t>
  </si>
  <si>
    <t>kV</t>
  </si>
  <si>
    <t>Inlet temp Crude (from E111)</t>
  </si>
  <si>
    <t>1XI157.pv</t>
  </si>
  <si>
    <t>Electrostatic Transformer 2 Parameter (Desalter)</t>
  </si>
  <si>
    <t>Whole Crude + Cut(145–235°C)  ~144 → 173°C</t>
  </si>
  <si>
    <t>✅  TAGS ที่พิมพ์ผิด — แก้ไขแล้วทั้งหมด  (3 tags ✓ Fixed)</t>
  </si>
  <si>
    <t>Tag เดิม (ผิด) → Tag ที่ถูกต้อง</t>
  </si>
  <si>
    <t>สถานะ / ตำแหน่งที่แก้</t>
  </si>
  <si>
    <t>Tag ถูกต้อง</t>
  </si>
  <si>
    <t>Inlet temp Residue</t>
  </si>
  <si>
    <t>1F1015.pv  →  1FI015.pv ✓</t>
  </si>
  <si>
    <t>แก้ไขแล้ว — B50, B61, B70 (E103AB / E104 / E105AB)</t>
  </si>
  <si>
    <t>1F1016.pv  →  1FI016.pv ✓</t>
  </si>
  <si>
    <t>แก้ไขแล้ว — B77 (E106AB) + B88/B97/B106 อัปเดตอัตโนมัติ (=B77 chain)</t>
  </si>
  <si>
    <t>Cut (235–330°C)  215.7 → 150°C</t>
  </si>
  <si>
    <t>1F1017.pv  →  1FI017.pv ✓</t>
  </si>
  <si>
    <t>แก้ไขแล้ว — B113 (E110ABC) + B124/B133/B142 อัปเดตอัตโนมัติ (=B113)</t>
  </si>
  <si>
    <t>E112C</t>
  </si>
  <si>
    <t>E108AB  🔥</t>
  </si>
  <si>
    <t>Preheat Exch-2 (Crude + Residue)  — Fouling Risk ↑</t>
  </si>
  <si>
    <t>Crude + Cut(145–235°C) + Cut(235–370°C)  ~173 → 210°C</t>
  </si>
  <si>
    <t>E113A</t>
  </si>
  <si>
    <t>Outlet temp Crude (CIT before Furnace)</t>
  </si>
  <si>
    <t>Asphaltenes (C7) (% wgt)  —  Asphaltene ใน n-C7  ⭐ อัปเกรด → Core!</t>
  </si>
  <si>
    <t>Feature (Core) ⭐</t>
  </si>
  <si>
    <t>1FI015.pv+1FI017.pv+1FI016.pv</t>
  </si>
  <si>
    <t>Inlet Flow Crude</t>
  </si>
  <si>
    <t>Carbon Residue MCRT (% wgt)  —  กากคาร์บอนหลังเผา  ASTM D4530  ⭐</t>
  </si>
  <si>
    <t>Pressure Inlet Furnace</t>
  </si>
  <si>
    <t>Inlet pressure Residue</t>
  </si>
  <si>
    <t>Cut (370°C+) + Cut (370–566°C)  ~198°C inlet</t>
  </si>
  <si>
    <t>Outlet pressure after mix</t>
  </si>
  <si>
    <t>From Distillation temp</t>
  </si>
  <si>
    <t>E151</t>
  </si>
  <si>
    <t>Furnace Air Preheater</t>
  </si>
  <si>
    <t>Preheat Exch-2 (Crude + GO สูง)</t>
  </si>
  <si>
    <t>Air Fuel</t>
  </si>
  <si>
    <t>Inlet temp Air Fuel</t>
  </si>
  <si>
    <t>Outlet temp Air Fuel</t>
  </si>
  <si>
    <t>Crude + Cut(235–370°C)  ~210 → 230°C</t>
  </si>
  <si>
    <t>Air Con</t>
  </si>
  <si>
    <t>Outlet temp Air Con</t>
  </si>
  <si>
    <t>Air Coon</t>
  </si>
  <si>
    <t>1TI 182.pv</t>
  </si>
  <si>
    <t>Inlet temp Air Con</t>
  </si>
  <si>
    <t>F101 - Crude (Inlet/Outlet)</t>
  </si>
  <si>
    <t>Furnace</t>
  </si>
  <si>
    <t>Crude</t>
  </si>
  <si>
    <t>Inlet Temp Furnace (from E113A)</t>
  </si>
  <si>
    <t>Cut (235–370°C)  319.38 → 215.7°C</t>
  </si>
  <si>
    <t>Inlet Pressure</t>
  </si>
  <si>
    <t>Outlet Temp</t>
  </si>
  <si>
    <t>Outlet Temp (Control)</t>
  </si>
  <si>
    <t>Outlet Pressure</t>
  </si>
  <si>
    <t>F101 - Pass 1 (Crude)</t>
  </si>
  <si>
    <t>Preheat Exch-2  Stream C จาก Desalter</t>
  </si>
  <si>
    <t>Pass 1</t>
  </si>
  <si>
    <t>Flow Pass 1</t>
  </si>
  <si>
    <t>Temp 1-1</t>
  </si>
  <si>
    <t>Whole Crude  ~95 → 173°C</t>
  </si>
  <si>
    <t>Temp 1-2</t>
  </si>
  <si>
    <t>Temp 1-3</t>
  </si>
  <si>
    <t>F101 - Pass 2 (Crude)</t>
  </si>
  <si>
    <t>Pass 2</t>
  </si>
  <si>
    <t>Flow Pass 2</t>
  </si>
  <si>
    <t>Temp 2-1</t>
  </si>
  <si>
    <t>Temp 2-2</t>
  </si>
  <si>
    <t>Cut (370°C+)  ~198 → 139°C</t>
  </si>
  <si>
    <t>Temp 2-3</t>
  </si>
  <si>
    <t>F101 - Pass 3 (Crude)</t>
  </si>
  <si>
    <t>Pass 3</t>
  </si>
  <si>
    <t>Flow Pass 3</t>
  </si>
  <si>
    <t>Temp 3-1</t>
  </si>
  <si>
    <t>Preheat Exch-2 (Crude + 3RS)</t>
  </si>
  <si>
    <t>Temp 3-2</t>
  </si>
  <si>
    <t>Temp 3-3</t>
  </si>
  <si>
    <t>Crude + Cut(145–235°C)  ~173 → 183°C</t>
  </si>
  <si>
    <t>F101 - Pass 4 (Crude)</t>
  </si>
  <si>
    <t>Pass 4</t>
  </si>
  <si>
    <t>Flow Pass 4</t>
  </si>
  <si>
    <t>Temp 4-1</t>
  </si>
  <si>
    <t>Cut (145–235°C)  196 → 185°C  (FC035=136.4)</t>
  </si>
  <si>
    <t>Temp 4-2</t>
  </si>
  <si>
    <t>Temp 4-3</t>
  </si>
  <si>
    <t>F101 - SL Convection Zone</t>
  </si>
  <si>
    <t>SL</t>
  </si>
  <si>
    <t>SL Flow Radiation</t>
  </si>
  <si>
    <t>E112AB  🔥</t>
  </si>
  <si>
    <t>Preheat Exch-2 (Crude Tสูง + Residue)  ⚠️ Fouling Risk สูง</t>
  </si>
  <si>
    <t>SHL</t>
  </si>
  <si>
    <t>Crude + Cut(235–370°C)  ~183 → 243°C  [Fouling Risk สูง]</t>
  </si>
  <si>
    <t>F101 - Body / Radiation</t>
  </si>
  <si>
    <t>Body</t>
  </si>
  <si>
    <t>1TI212</t>
  </si>
  <si>
    <t>1TI213</t>
  </si>
  <si>
    <t>Top</t>
  </si>
  <si>
    <t>1TI153</t>
  </si>
  <si>
    <t>Radiation</t>
  </si>
  <si>
    <t>1TI204</t>
  </si>
  <si>
    <t>Temp Top Radiation Section</t>
  </si>
  <si>
    <t>Air Fuel (Combustion Air)</t>
  </si>
  <si>
    <t>Furnace / E151</t>
  </si>
  <si>
    <t>Hot (Residue) ⚠️</t>
  </si>
  <si>
    <t>Cut (370°C+) + Cut(370–566°C)  outlet=35.36°C  ⚠️ ผิดปกติ!</t>
  </si>
  <si>
    <t>⚠️ 1TI127=35.36°C ผิดปกติ — Filter record นี้ออก</t>
  </si>
  <si>
    <t>1PC035</t>
  </si>
  <si>
    <t>Pressure Inlet Air</t>
  </si>
  <si>
    <t>1TI185</t>
  </si>
  <si>
    <t>Temp In E151 (ambient)</t>
  </si>
  <si>
    <t>1TI183</t>
  </si>
  <si>
    <t>Temp Out E151</t>
  </si>
  <si>
    <t>1TI184</t>
  </si>
  <si>
    <t>Air Con (Flue/Convection Air)</t>
  </si>
  <si>
    <t>Preheat Exch-2 (Crude + Residue คู่ขนาน)</t>
  </si>
  <si>
    <t>1TI182</t>
  </si>
  <si>
    <t>Temp Air Con out Furnace</t>
  </si>
  <si>
    <t>Crude + Cut(235–370°C)  ~183 → 231°C</t>
  </si>
  <si>
    <t>1TI211</t>
  </si>
  <si>
    <t>1AI001</t>
  </si>
  <si>
    <t>Air Component (O2/composition)</t>
  </si>
  <si>
    <t>PC034</t>
  </si>
  <si>
    <t>Pressure Control</t>
  </si>
  <si>
    <t>FG (Fuel Gas)</t>
  </si>
  <si>
    <t>Cut (370°C+)  280.13 → 231.78°C</t>
  </si>
  <si>
    <t>FG</t>
  </si>
  <si>
    <t>1FI028</t>
  </si>
  <si>
    <t>Flow</t>
  </si>
  <si>
    <t>1PC010</t>
  </si>
  <si>
    <t>Pressure Inlet</t>
  </si>
  <si>
    <t>Key Constraints (Furnace) — Constraint 1</t>
  </si>
  <si>
    <t>Operational Limits</t>
  </si>
  <si>
    <t>Constraint</t>
  </si>
  <si>
    <t>Unit / Note</t>
  </si>
  <si>
    <t>E113A  🔥🔥</t>
  </si>
  <si>
    <t>Preheat Exch-2 (สุดท้าย ก่อน Furnace)  — 🔥 Fouling Risk สูงสุด!</t>
  </si>
  <si>
    <t>CIT (Coil Inlet Temp)</t>
  </si>
  <si>
    <t>1TI116</t>
  </si>
  <si>
    <t>Inlet temp Furnace (from E113A)</t>
  </si>
  <si>
    <t>COT (Coil Outlet Temp)</t>
  </si>
  <si>
    <t>1TI150</t>
  </si>
  <si>
    <t>Outlet temp Furnace</t>
  </si>
  <si>
    <t>Crude + Cut(235–370°C) + Cut(330–370°C)  239 → 258°C (CIT)</t>
  </si>
  <si>
    <t>COT (Control)</t>
  </si>
  <si>
    <t>1TC007</t>
  </si>
  <si>
    <t>Outlet temp control setpoint</t>
  </si>
  <si>
    <t>Air Composition</t>
  </si>
  <si>
    <t>O2 / Air component analyzer</t>
  </si>
  <si>
    <t>%O2 in flue gas</t>
  </si>
  <si>
    <t>Pressure Control (Draft)</t>
  </si>
  <si>
    <t>1PC034</t>
  </si>
  <si>
    <t>Furnace draft pressure control</t>
  </si>
  <si>
    <t>mmH2O / kPa</t>
  </si>
  <si>
    <t>FG Flow</t>
  </si>
  <si>
    <t>Fuel Gas flow to burners</t>
  </si>
  <si>
    <t>t/h or Nm³/h</t>
  </si>
  <si>
    <t>FG Pressure</t>
  </si>
  <si>
    <t>Fuel Gas inlet pressure control</t>
  </si>
  <si>
    <t>Asphaltenes (C7) (% wgt)  —  Asphaltene ใน n-C7  🔥 Highest Priority!</t>
  </si>
  <si>
    <t>Feature (Core) 🔥</t>
  </si>
  <si>
    <t>Body Pressure furnace 1</t>
  </si>
  <si>
    <t>Carbon Residue MCRT (% wgt)  —  กากคาร์บอนหลังเผา  ASTM D4530  🔥</t>
  </si>
  <si>
    <t>Body Pressure furnace 2</t>
  </si>
  <si>
    <t>Pass 1 Temp tube In</t>
  </si>
  <si>
    <t>Hot (Residue/Distillation)</t>
  </si>
  <si>
    <t>Cut (370°C+) + Cut (370–566°C)  332.24 → 280.13°C</t>
  </si>
  <si>
    <t>Pass 1 Temp tube Out</t>
  </si>
  <si>
    <t>Pass 2 Temp tube In</t>
  </si>
  <si>
    <t>Pass 2 Temp tube Out</t>
  </si>
  <si>
    <t>Pass 3 Temp tube In</t>
  </si>
  <si>
    <t>Pass 3 Temp tube Out</t>
  </si>
  <si>
    <t>Pass 4 Temp tube In</t>
  </si>
  <si>
    <t>Pass 4 Temp tube Out</t>
  </si>
  <si>
    <t>Air Preheater (Furnace E151)  — ไม่มี Crude ไหลผ่าน</t>
  </si>
  <si>
    <t>Cold (Air Fuel)</t>
  </si>
  <si>
    <t>N/A — Combustion Air  39.86 → 228°C</t>
  </si>
  <si>
    <t>N/A  —  ไม่มี Crude ไหลผ่าน stream นี้</t>
  </si>
  <si>
    <t>ℹ️ ไม่ใช้ Crude data</t>
  </si>
  <si>
    <t>Hot (Air Con/Flue)</t>
  </si>
  <si>
    <t>N/A — Flue Gas  324 → 155°C</t>
  </si>
  <si>
    <t>F101  🔥</t>
  </si>
  <si>
    <t>Crude Furnace (Fired Heater)  — COT = Model Target</t>
  </si>
  <si>
    <t>Cold (Crude)  4 Passes</t>
  </si>
  <si>
    <t>Crude + Cut(235–370°C) + Cut(330–370°C)  258°C (CIT) → 340°C (COT)</t>
  </si>
  <si>
    <t>Hot (Fuel Gas)</t>
  </si>
  <si>
    <t>N/A — 1FI028=6.66 t/h  (Combustion)</t>
  </si>
  <si>
    <t>N/A  —  Combustion parameters  (FG Flow, Pressure)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</si>
</sst>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0"/>
    <numFmt numFmtId="165" formatCode="_(* #,##0.00_);_(* \(#,##0.00\);_(* &quot;-&quot;??_);_(@_)"/>
  </numFmts>
  <fonts count="24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b/>
      <sz val="11"/>
      <color theme="1"/>
      <name val="Aptos Narrow"/>
      <family val="2"/>
      <charset val="222"/>
      <scheme val="minor"/>
    </font>
    <font>
      <b/>
      <sz val="14"/>
      <color theme="1"/>
      <name val="Aptos Narrow"/>
      <family val="2"/>
      <charset val="222"/>
      <scheme val="minor"/>
    </font>
    <font>
      <b/>
      <sz val="12"/>
      <color rgb="FFFFFFFF"/>
      <name val="Aptos Narrow"/>
      <family val="2"/>
      <charset val="222"/>
      <scheme val="minor"/>
    </font>
    <font>
      <b/>
      <i/>
      <sz val="11"/>
      <color rgb="FF595959"/>
      <name val="Aptos Narrow"/>
      <family val="2"/>
      <charset val="222"/>
      <scheme val="minor"/>
    </font>
    <font>
      <b/>
      <sz val="11"/>
      <color rgb="FFFFFFFF"/>
      <name val="Aptos Narrow"/>
      <family val="2"/>
      <charset val="222"/>
      <scheme val="minor"/>
    </font>
    <font>
      <sz val="11"/>
      <color rgb="FF000000"/>
      <name val="Aptos Narrow"/>
      <family val="2"/>
      <charset val="222"/>
      <scheme val="minor"/>
    </font>
    <font>
      <sz val="11"/>
      <color rgb="FF7F6000"/>
      <name val="Aptos Narrow"/>
      <family val="2"/>
      <charset val="222"/>
      <scheme val="minor"/>
    </font>
    <font>
      <sz val="11"/>
      <color rgb="FF375623"/>
      <name val="Aptos Narrow"/>
      <family val="2"/>
      <charset val="222"/>
      <scheme val="minor"/>
    </font>
    <font>
      <i/>
      <sz val="9"/>
      <color rgb="FF546E7A"/>
      <name val="Aptos Narrow"/>
      <family val="2"/>
      <charset val="222"/>
      <scheme val="minor"/>
    </font>
    <font>
      <i/>
      <sz val="9"/>
      <color theme="1"/>
      <name val="Aptos Narrow"/>
      <family val="2"/>
      <charset val="222"/>
      <scheme val="minor"/>
    </font>
    <font>
      <sz val="11"/>
      <color rgb="FF2E7D32"/>
      <name val="Aptos Narrow"/>
      <family val="2"/>
      <charset val="222"/>
      <scheme val="minor"/>
    </font>
    <font>
      <sz val="11"/>
      <color rgb="FF6A1B9A"/>
      <name val="Aptos Narrow"/>
      <family val="2"/>
      <charset val="222"/>
      <scheme val="minor"/>
    </font>
    <font>
      <sz val="11"/>
      <color rgb="FF7F4F00"/>
      <name val="Aptos Narrow"/>
      <family val="2"/>
      <charset val="222"/>
      <scheme val="minor"/>
    </font>
    <font>
      <sz val="11"/>
      <color rgb="FF546E7A"/>
      <name val="Aptos Narrow"/>
      <family val="2"/>
      <charset val="222"/>
      <scheme val="minor"/>
    </font>
    <font>
      <sz val="11"/>
      <color rgb="FF1B5E20"/>
      <name val="Aptos Narrow"/>
      <family val="2"/>
      <charset val="222"/>
      <scheme val="minor"/>
    </font>
    <font>
      <i/>
      <sz val="10"/>
      <color theme="1"/>
      <name val="Aptos Narrow"/>
      <family val="2"/>
      <charset val="222"/>
      <scheme val="minor"/>
    </font>
    <font>
      <sz val="11"/>
      <color rgb="FFC00000"/>
      <name val="Aptos Narrow"/>
      <family val="2"/>
      <charset val="22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600000"/>
      <name val="Aptos Narrow"/>
      <family val="2"/>
      <charset val="222"/>
      <scheme val="minor"/>
    </font>
    <font>
      <b/>
      <sz val="11"/>
      <color theme="1"/>
      <name val="Aptos Narrow"/>
      <family val="2"/>
      <scheme val="minor"/>
    </font>
    <font>
      <sz val="11"/>
      <color rgb="FF595959"/>
      <name val="Aptos Narrow"/>
      <family val="2"/>
      <charset val="222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474F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0D47A1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546E7A"/>
        <bgColor indexed="64"/>
      </patternFill>
    </fill>
    <fill>
      <patternFill patternType="solid">
        <fgColor rgb="FFDDEE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455A64"/>
        <bgColor indexed="64"/>
      </patternFill>
    </fill>
    <fill>
      <patternFill patternType="solid">
        <fgColor rgb="FF00695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ECEFF1"/>
        <bgColor indexed="64"/>
      </patternFill>
    </fill>
    <fill>
      <patternFill patternType="solid">
        <fgColor rgb="FFE0F2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2DFDB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FF7FF"/>
        <bgColor indexed="64"/>
      </patternFill>
    </fill>
    <fill>
      <patternFill patternType="solid">
        <fgColor rgb="FFCFD8DC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EFF7EE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02B9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AEA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0E0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843C0C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9595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rgb="FFC0C0C0"/>
      </top>
      <bottom/>
      <diagonal/>
    </border>
    <border>
      <left style="thin">
        <color auto="1"/>
      </left>
      <right style="thin">
        <color auto="1"/>
      </right>
      <top style="thin">
        <color rgb="FFC0C0C0"/>
      </top>
      <bottom style="thin">
        <color rgb="FFC0C0C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4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3" borderId="0" xfId="0" applyFont="1" applyFill="1" applyAlignment="1">
      <alignment vertical="center"/>
    </xf>
    <xf numFmtId="0" fontId="6" fillId="4" borderId="1" xfId="0" applyFont="1" applyFill="1" applyBorder="1"/>
    <xf numFmtId="0" fontId="6" fillId="5" borderId="2" xfId="0" applyFont="1" applyFill="1" applyBorder="1"/>
    <xf numFmtId="0" fontId="6" fillId="6" borderId="0" xfId="0" applyFont="1" applyFill="1" applyAlignment="1">
      <alignment vertical="center"/>
    </xf>
    <xf numFmtId="0" fontId="6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vertical="center"/>
    </xf>
    <xf numFmtId="0" fontId="6" fillId="10" borderId="0" xfId="0" applyFont="1" applyFill="1" applyAlignment="1">
      <alignment horizontal="center" vertical="center"/>
    </xf>
    <xf numFmtId="0" fontId="6" fillId="5" borderId="1" xfId="0" applyFont="1" applyFill="1" applyBorder="1"/>
    <xf numFmtId="0" fontId="6" fillId="5" borderId="0" xfId="0" applyFont="1" applyFill="1"/>
    <xf numFmtId="0" fontId="7" fillId="11" borderId="1" xfId="0" applyFont="1" applyFill="1" applyBorder="1"/>
    <xf numFmtId="0" fontId="2" fillId="12" borderId="3" xfId="0" applyFont="1" applyFill="1" applyBorder="1" applyAlignment="1">
      <alignment horizontal="center"/>
    </xf>
    <xf numFmtId="49" fontId="2" fillId="12" borderId="0" xfId="0" applyNumberFormat="1" applyFont="1" applyFill="1" applyAlignment="1">
      <alignment horizontal="center"/>
    </xf>
    <xf numFmtId="0" fontId="6" fillId="13" borderId="0" xfId="0" applyFont="1" applyFill="1" applyAlignment="1">
      <alignment horizontal="center" vertical="center" wrapText="1"/>
    </xf>
    <xf numFmtId="0" fontId="6" fillId="14" borderId="0" xfId="0" applyFont="1" applyFill="1" applyAlignment="1">
      <alignment horizontal="center" vertical="center" wrapText="1"/>
    </xf>
    <xf numFmtId="0" fontId="6" fillId="13" borderId="0" xfId="0" applyFont="1" applyFill="1" applyAlignment="1">
      <alignment horizontal="center" wrapText="1"/>
    </xf>
    <xf numFmtId="0" fontId="2" fillId="12" borderId="1" xfId="0" applyFont="1" applyFill="1" applyBorder="1" applyAlignment="1">
      <alignment horizontal="center"/>
    </xf>
    <xf numFmtId="0" fontId="8" fillId="15" borderId="1" xfId="0" applyFont="1" applyFill="1" applyBorder="1"/>
    <xf numFmtId="0" fontId="2" fillId="16" borderId="4" xfId="0" applyFont="1" applyFill="1" applyBorder="1"/>
    <xf numFmtId="0" fontId="0" fillId="16" borderId="4" xfId="0" applyFill="1" applyBorder="1"/>
    <xf numFmtId="0" fontId="9" fillId="16" borderId="4" xfId="0" applyFont="1" applyFill="1" applyBorder="1"/>
    <xf numFmtId="164" fontId="0" fillId="0" borderId="0" xfId="0" applyNumberFormat="1" applyAlignment="1">
      <alignment horizontal="right"/>
    </xf>
    <xf numFmtId="0" fontId="10" fillId="17" borderId="0" xfId="0" applyFont="1" applyFill="1" applyAlignment="1">
      <alignment horizontal="center"/>
    </xf>
    <xf numFmtId="0" fontId="11" fillId="18" borderId="0" xfId="0" applyFont="1" applyFill="1" applyAlignment="1">
      <alignment horizontal="center"/>
    </xf>
    <xf numFmtId="0" fontId="0" fillId="0" borderId="1" xfId="0" applyBorder="1"/>
    <xf numFmtId="0" fontId="0" fillId="16" borderId="5" xfId="0" applyFill="1" applyBorder="1"/>
    <xf numFmtId="0" fontId="9" fillId="16" borderId="5" xfId="0" applyFont="1" applyFill="1" applyBorder="1"/>
    <xf numFmtId="49" fontId="2" fillId="19" borderId="0" xfId="0" applyNumberFormat="1" applyFont="1" applyFill="1"/>
    <xf numFmtId="0" fontId="0" fillId="19" borderId="0" xfId="0" applyFill="1"/>
    <xf numFmtId="0" fontId="12" fillId="20" borderId="0" xfId="0" applyFont="1" applyFill="1" applyAlignment="1">
      <alignment horizontal="center"/>
    </xf>
    <xf numFmtId="0" fontId="0" fillId="21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2" fillId="22" borderId="0" xfId="0" applyFont="1" applyFill="1" applyAlignment="1">
      <alignment horizontal="center"/>
    </xf>
    <xf numFmtId="164" fontId="2" fillId="22" borderId="0" xfId="0" applyNumberFormat="1" applyFont="1" applyFill="1" applyAlignment="1">
      <alignment horizontal="center"/>
    </xf>
    <xf numFmtId="0" fontId="13" fillId="23" borderId="0" xfId="0" applyFont="1" applyFill="1" applyAlignment="1">
      <alignment horizontal="center"/>
    </xf>
    <xf numFmtId="2" fontId="0" fillId="19" borderId="0" xfId="0" applyNumberFormat="1" applyFill="1" applyAlignment="1">
      <alignment horizontal="center"/>
    </xf>
    <xf numFmtId="165" fontId="0" fillId="0" borderId="0" xfId="1" applyNumberFormat="1" applyFont="1"/>
    <xf numFmtId="49" fontId="2" fillId="24" borderId="0" xfId="0" applyNumberFormat="1" applyFont="1" applyFill="1"/>
    <xf numFmtId="0" fontId="0" fillId="24" borderId="0" xfId="0" applyFill="1"/>
    <xf numFmtId="0" fontId="0" fillId="24" borderId="0" xfId="0" applyFill="1" applyAlignment="1">
      <alignment horizontal="center"/>
    </xf>
    <xf numFmtId="0" fontId="7" fillId="25" borderId="1" xfId="0" applyFont="1" applyFill="1" applyBorder="1"/>
    <xf numFmtId="0" fontId="14" fillId="16" borderId="5" xfId="0" applyFont="1" applyFill="1" applyBorder="1"/>
    <xf numFmtId="0" fontId="15" fillId="26" borderId="0" xfId="0" applyFont="1" applyFill="1" applyAlignment="1">
      <alignment horizontal="center"/>
    </xf>
    <xf numFmtId="49" fontId="0" fillId="0" borderId="0" xfId="0" applyNumberFormat="1" applyAlignment="1">
      <alignment horizontal="center"/>
    </xf>
    <xf numFmtId="0" fontId="0" fillId="27" borderId="0" xfId="0" applyFill="1" applyAlignment="1">
      <alignment horizontal="center"/>
    </xf>
    <xf numFmtId="0" fontId="2" fillId="28" borderId="5" xfId="0" applyFont="1" applyFill="1" applyBorder="1"/>
    <xf numFmtId="0" fontId="0" fillId="28" borderId="5" xfId="0" applyFill="1" applyBorder="1"/>
    <xf numFmtId="0" fontId="9" fillId="28" borderId="5" xfId="0" applyFont="1" applyFill="1" applyBorder="1"/>
    <xf numFmtId="0" fontId="0" fillId="29" borderId="0" xfId="0" applyFill="1" applyAlignment="1">
      <alignment horizontal="center"/>
    </xf>
    <xf numFmtId="0" fontId="16" fillId="30" borderId="0" xfId="0" applyFont="1" applyFill="1" applyAlignment="1">
      <alignment horizontal="center"/>
    </xf>
    <xf numFmtId="0" fontId="16" fillId="18" borderId="0" xfId="0" applyFont="1" applyFill="1" applyAlignment="1">
      <alignment horizontal="center"/>
    </xf>
    <xf numFmtId="0" fontId="0" fillId="28" borderId="6" xfId="0" applyFill="1" applyBorder="1"/>
    <xf numFmtId="0" fontId="9" fillId="28" borderId="6" xfId="0" applyFont="1" applyFill="1" applyBorder="1"/>
    <xf numFmtId="0" fontId="17" fillId="29" borderId="0" xfId="0" applyFont="1" applyFill="1" applyAlignment="1">
      <alignment horizontal="center"/>
    </xf>
    <xf numFmtId="0" fontId="6" fillId="31" borderId="1" xfId="0" applyFont="1" applyFill="1" applyBorder="1"/>
    <xf numFmtId="0" fontId="6" fillId="31" borderId="0" xfId="0" applyFont="1" applyFill="1"/>
    <xf numFmtId="0" fontId="0" fillId="32" borderId="7" xfId="0" applyFill="1" applyBorder="1" applyAlignment="1">
      <alignment horizontal="center"/>
    </xf>
    <xf numFmtId="0" fontId="0" fillId="32" borderId="1" xfId="0" applyFill="1" applyBorder="1"/>
    <xf numFmtId="0" fontId="0" fillId="33" borderId="1" xfId="0" applyFill="1" applyBorder="1"/>
    <xf numFmtId="0" fontId="0" fillId="34" borderId="1" xfId="0" applyFill="1" applyBorder="1"/>
    <xf numFmtId="0" fontId="6" fillId="35" borderId="2" xfId="0" applyFont="1" applyFill="1" applyBorder="1"/>
    <xf numFmtId="0" fontId="2" fillId="15" borderId="4" xfId="0" applyFont="1" applyFill="1" applyBorder="1"/>
    <xf numFmtId="0" fontId="0" fillId="15" borderId="4" xfId="0" applyFill="1" applyBorder="1"/>
    <xf numFmtId="0" fontId="18" fillId="15" borderId="4" xfId="0" applyFont="1" applyFill="1" applyBorder="1"/>
    <xf numFmtId="0" fontId="0" fillId="15" borderId="5" xfId="0" applyFill="1" applyBorder="1"/>
    <xf numFmtId="0" fontId="18" fillId="15" borderId="5" xfId="0" applyFont="1" applyFill="1" applyBorder="1"/>
    <xf numFmtId="0" fontId="2" fillId="15" borderId="5" xfId="0" applyFont="1" applyFill="1" applyBorder="1"/>
    <xf numFmtId="0" fontId="0" fillId="15" borderId="6" xfId="0" applyFill="1" applyBorder="1"/>
    <xf numFmtId="0" fontId="18" fillId="15" borderId="6" xfId="0" applyFont="1" applyFill="1" applyBorder="1"/>
    <xf numFmtId="0" fontId="19" fillId="25" borderId="1" xfId="0" applyFont="1" applyFill="1" applyBorder="1"/>
    <xf numFmtId="0" fontId="20" fillId="0" borderId="0" xfId="0" applyFont="1"/>
    <xf numFmtId="0" fontId="20" fillId="0" borderId="1" xfId="0" applyFont="1" applyBorder="1"/>
    <xf numFmtId="0" fontId="0" fillId="0" borderId="1" xfId="0" applyBorder="1" applyAlignment="1">
      <alignment horizontal="right"/>
    </xf>
    <xf numFmtId="0" fontId="0" fillId="21" borderId="1" xfId="0" applyFill="1" applyBorder="1"/>
    <xf numFmtId="0" fontId="0" fillId="36" borderId="1" xfId="0" applyFill="1" applyBorder="1"/>
    <xf numFmtId="0" fontId="21" fillId="37" borderId="1" xfId="0" applyFont="1" applyFill="1" applyBorder="1"/>
    <xf numFmtId="0" fontId="4" fillId="38" borderId="1" xfId="0" applyFont="1" applyFill="1" applyBorder="1" applyAlignment="1">
      <alignment horizontal="center"/>
    </xf>
    <xf numFmtId="0" fontId="6" fillId="39" borderId="1" xfId="0" applyFont="1" applyFill="1" applyBorder="1"/>
    <xf numFmtId="11" fontId="21" fillId="40" borderId="1" xfId="0" applyNumberFormat="1" applyFont="1" applyFill="1" applyBorder="1"/>
    <xf numFmtId="0" fontId="21" fillId="40" borderId="1" xfId="0" applyFont="1" applyFill="1" applyBorder="1"/>
    <xf numFmtId="11" fontId="21" fillId="37" borderId="1" xfId="0" applyNumberFormat="1" applyFont="1" applyFill="1" applyBorder="1"/>
    <xf numFmtId="0" fontId="21" fillId="37" borderId="4" xfId="0" applyFont="1" applyFill="1" applyBorder="1"/>
    <xf numFmtId="0" fontId="4" fillId="41" borderId="8" xfId="0" applyFont="1" applyFill="1" applyBorder="1" applyAlignment="1">
      <alignment horizontal="center"/>
    </xf>
    <xf numFmtId="0" fontId="4" fillId="41" borderId="9" xfId="0" applyFont="1" applyFill="1" applyBorder="1" applyAlignment="1">
      <alignment horizontal="center"/>
    </xf>
    <xf numFmtId="0" fontId="4" fillId="41" borderId="10" xfId="0" applyFont="1" applyFill="1" applyBorder="1" applyAlignment="1">
      <alignment horizontal="center"/>
    </xf>
    <xf numFmtId="0" fontId="6" fillId="42" borderId="1" xfId="0" applyFont="1" applyFill="1" applyBorder="1"/>
    <xf numFmtId="0" fontId="9" fillId="43" borderId="1" xfId="0" applyFont="1" applyFill="1" applyBorder="1"/>
    <xf numFmtId="0" fontId="14" fillId="28" borderId="6" xfId="0" applyFont="1" applyFill="1" applyBorder="1"/>
    <xf numFmtId="0" fontId="6" fillId="44" borderId="2" xfId="0" applyFont="1" applyFill="1" applyBorder="1"/>
    <xf numFmtId="0" fontId="14" fillId="28" borderId="5" xfId="0" applyFont="1" applyFill="1" applyBorder="1"/>
    <xf numFmtId="2" fontId="0" fillId="0" borderId="1" xfId="0" applyNumberFormat="1" applyBorder="1"/>
    <xf numFmtId="0" fontId="6" fillId="45" borderId="1" xfId="0" applyFont="1" applyFill="1" applyBorder="1"/>
    <xf numFmtId="0" fontId="2" fillId="46" borderId="1" xfId="0" applyFont="1" applyFill="1" applyBorder="1" applyAlignment="1">
      <alignment horizontal="center"/>
    </xf>
    <xf numFmtId="0" fontId="4" fillId="38" borderId="1" xfId="0" applyFont="1" applyFill="1" applyBorder="1"/>
    <xf numFmtId="0" fontId="2" fillId="47" borderId="1" xfId="0" applyFont="1" applyFill="1" applyBorder="1" applyAlignment="1">
      <alignment horizontal="center"/>
    </xf>
    <xf numFmtId="0" fontId="2" fillId="15" borderId="1" xfId="0" applyFont="1" applyFill="1" applyBorder="1"/>
    <xf numFmtId="2" fontId="2" fillId="0" borderId="1" xfId="0" applyNumberFormat="1" applyFont="1" applyBorder="1"/>
    <xf numFmtId="0" fontId="2" fillId="0" borderId="1" xfId="0" applyFont="1" applyBorder="1"/>
    <xf numFmtId="0" fontId="18" fillId="16" borderId="5" xfId="0" applyFont="1" applyFill="1" applyBorder="1"/>
    <xf numFmtId="0" fontId="22" fillId="48" borderId="1" xfId="0" applyFont="1" applyFill="1" applyBorder="1"/>
    <xf numFmtId="0" fontId="0" fillId="49" borderId="1" xfId="0" applyFill="1" applyBorder="1"/>
    <xf numFmtId="0" fontId="18" fillId="28" borderId="5" xfId="0" applyFont="1" applyFill="1" applyBorder="1"/>
    <xf numFmtId="0" fontId="18" fillId="28" borderId="6" xfId="0" applyFont="1" applyFill="1" applyBorder="1"/>
    <xf numFmtId="0" fontId="6" fillId="50" borderId="2" xfId="0" applyFont="1" applyFill="1" applyBorder="1"/>
    <xf numFmtId="0" fontId="23" fillId="16" borderId="4" xfId="0" applyFont="1" applyFill="1" applyBorder="1"/>
    <xf numFmtId="0" fontId="2" fillId="28" borderId="6" xfId="0" applyFont="1" applyFill="1" applyBorder="1"/>
    <xf numFmtId="0" fontId="23" fillId="28" borderId="6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9896</xdr:colOff>
      <xdr:row>28</xdr:row>
      <xdr:rowOff>19792</xdr:rowOff>
    </xdr:from>
    <xdr:to>
      <xdr:col>41</xdr:col>
      <xdr:colOff>2173422</xdr:colOff>
      <xdr:row>30</xdr:row>
      <xdr:rowOff>137692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64E2CF-F8DE-48D7-9527-D5A926727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267356" y="8043652"/>
          <a:ext cx="4776533" cy="54462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25</xdr:row>
      <xdr:rowOff>138546</xdr:rowOff>
    </xdr:from>
    <xdr:to>
      <xdr:col>41</xdr:col>
      <xdr:colOff>663829</xdr:colOff>
      <xdr:row>27</xdr:row>
      <xdr:rowOff>201627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4FD890-F451-4180-9D75-0D7836917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257460" y="7339446"/>
          <a:ext cx="3283316" cy="489801"/>
        </a:xfrm>
        <a:prstGeom prst="rect">
          <a:avLst/>
        </a:prstGeom>
      </xdr:spPr>
    </xdr:pic>
    <xdr:clientData/>
  </xdr:twoCellAnchor>
  <xdr:twoCellAnchor editAs="oneCell">
    <xdr:from>
      <xdr:col>27</xdr:col>
      <xdr:colOff>297213</xdr:colOff>
      <xdr:row>25</xdr:row>
      <xdr:rowOff>117269</xdr:rowOff>
    </xdr:from>
    <xdr:to>
      <xdr:col>32</xdr:col>
      <xdr:colOff>906816</xdr:colOff>
      <xdr:row>35</xdr:row>
      <xdr:rowOff>77736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A4AD8B7-00ED-439C-8480-BAB79C80B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700733" y="7318169"/>
          <a:ext cx="4407052" cy="209406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Optimization%20Crude%20Preheat%20Train%20Bangchak/Data%20Parameter%20For%20Project%20bangchak.xlsx" TargetMode="External"/><Relationship Id="rId2" Type="http://schemas.openxmlformats.org/officeDocument/2006/relationships/externalLinkPath" Target="file:///C:\Desktop\Bangchak%20Internship%202026\Optimization%20Crude%20Preheat%20Train%20Bangchak\Data%20Parameter%20For%20Project%20bangchak.xlsx" TargetMode="External"/><Relationship Id="rId1" Type="http://schemas.openxmlformats.org/officeDocument/2006/relationships/externalLinkPath" Target="/Desktop/Bangchak%20Internship%202026/Optimization%20Crude%20Preheat%20Train%20Bangchak/Data%20Parameter%20For%20Project%20bangcha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 Sheet"/>
      <sheetName val="Key Control"/>
      <sheetName val="Key vessel"/>
      <sheetName val="HX Breakdown"/>
      <sheetName val="Equations &amp; Calc"/>
      <sheetName val="Crude Property"/>
      <sheetName val="Example Crude Property"/>
      <sheetName val="Calulation HX"/>
    </sheetNames>
    <sheetDataSet>
      <sheetData sheetId="0"/>
      <sheetData sheetId="1">
        <row r="9">
          <cell r="F9">
            <v>194.2</v>
          </cell>
        </row>
        <row r="11">
          <cell r="F11">
            <v>94.38</v>
          </cell>
        </row>
        <row r="12">
          <cell r="F12">
            <v>157.1</v>
          </cell>
        </row>
        <row r="14">
          <cell r="F14">
            <v>97.06</v>
          </cell>
        </row>
        <row r="15">
          <cell r="F15">
            <v>188.7</v>
          </cell>
        </row>
        <row r="17">
          <cell r="F17">
            <v>83.81</v>
          </cell>
        </row>
        <row r="18">
          <cell r="F18">
            <v>-133.32</v>
          </cell>
        </row>
        <row r="20">
          <cell r="F20">
            <v>36.020000000000003</v>
          </cell>
        </row>
        <row r="21">
          <cell r="F21">
            <v>116.43</v>
          </cell>
        </row>
        <row r="22">
          <cell r="F22">
            <v>91.64</v>
          </cell>
        </row>
        <row r="23">
          <cell r="F23">
            <v>92.57</v>
          </cell>
        </row>
        <row r="24">
          <cell r="F24">
            <v>88.67</v>
          </cell>
        </row>
        <row r="28">
          <cell r="F28">
            <v>-6.9</v>
          </cell>
        </row>
        <row r="29">
          <cell r="F29">
            <v>431.7</v>
          </cell>
        </row>
        <row r="30">
          <cell r="F30">
            <v>468.2</v>
          </cell>
        </row>
        <row r="31">
          <cell r="F31">
            <v>325</v>
          </cell>
        </row>
        <row r="32">
          <cell r="F32">
            <v>-106.01</v>
          </cell>
        </row>
        <row r="33">
          <cell r="F33">
            <v>91.58</v>
          </cell>
        </row>
        <row r="34">
          <cell r="F34">
            <v>99.69</v>
          </cell>
        </row>
        <row r="60">
          <cell r="F60">
            <v>154.5</v>
          </cell>
        </row>
        <row r="61">
          <cell r="F61">
            <v>141.19999999999999</v>
          </cell>
        </row>
        <row r="62">
          <cell r="F62">
            <v>235.4</v>
          </cell>
        </row>
        <row r="63">
          <cell r="F63">
            <v>144.09</v>
          </cell>
        </row>
        <row r="64">
          <cell r="F64">
            <v>173.38</v>
          </cell>
        </row>
        <row r="66">
          <cell r="F66">
            <v>173.33</v>
          </cell>
        </row>
        <row r="67">
          <cell r="F67">
            <v>183.34</v>
          </cell>
        </row>
        <row r="68">
          <cell r="F68">
            <v>181.45</v>
          </cell>
        </row>
        <row r="69">
          <cell r="F69">
            <v>210.06</v>
          </cell>
        </row>
        <row r="70">
          <cell r="F70">
            <v>230.5</v>
          </cell>
        </row>
        <row r="71">
          <cell r="F71">
            <v>243</v>
          </cell>
        </row>
        <row r="72">
          <cell r="F72">
            <v>241.93</v>
          </cell>
        </row>
        <row r="73">
          <cell r="F73">
            <v>239.22</v>
          </cell>
        </row>
        <row r="74">
          <cell r="F74">
            <v>258.05</v>
          </cell>
        </row>
        <row r="75">
          <cell r="F75">
            <v>18.170000000000002</v>
          </cell>
        </row>
        <row r="76">
          <cell r="F76">
            <v>7.63</v>
          </cell>
        </row>
        <row r="77">
          <cell r="F77">
            <v>280.13</v>
          </cell>
        </row>
        <row r="78">
          <cell r="F78">
            <v>6.14</v>
          </cell>
        </row>
        <row r="79">
          <cell r="F79">
            <v>332.24</v>
          </cell>
        </row>
        <row r="80">
          <cell r="F80">
            <v>231.78</v>
          </cell>
        </row>
        <row r="82">
          <cell r="F82">
            <v>35.36</v>
          </cell>
        </row>
        <row r="83">
          <cell r="F83">
            <v>197.98</v>
          </cell>
        </row>
        <row r="85">
          <cell r="F85">
            <v>138.94999999999999</v>
          </cell>
        </row>
        <row r="86">
          <cell r="F86">
            <v>222.4</v>
          </cell>
        </row>
        <row r="87">
          <cell r="F87">
            <v>196.46</v>
          </cell>
        </row>
        <row r="88">
          <cell r="F88">
            <v>184.64</v>
          </cell>
        </row>
        <row r="89">
          <cell r="F89">
            <v>136.4</v>
          </cell>
        </row>
        <row r="90">
          <cell r="F90">
            <v>222.4</v>
          </cell>
        </row>
        <row r="91">
          <cell r="F91">
            <v>177</v>
          </cell>
        </row>
        <row r="92">
          <cell r="F92">
            <v>156.93</v>
          </cell>
        </row>
        <row r="93">
          <cell r="F93">
            <v>155.6</v>
          </cell>
        </row>
        <row r="94">
          <cell r="F94">
            <v>108.96</v>
          </cell>
        </row>
        <row r="95">
          <cell r="F95">
            <v>169.8</v>
          </cell>
        </row>
        <row r="96">
          <cell r="F96">
            <v>119.06</v>
          </cell>
        </row>
        <row r="98">
          <cell r="F98">
            <v>319.38</v>
          </cell>
        </row>
        <row r="99">
          <cell r="F99">
            <v>215.7</v>
          </cell>
        </row>
        <row r="100">
          <cell r="F100">
            <v>149.62</v>
          </cell>
        </row>
        <row r="102">
          <cell r="F102">
            <v>258.05</v>
          </cell>
        </row>
        <row r="103">
          <cell r="F103">
            <v>18.170000000000002</v>
          </cell>
        </row>
        <row r="104">
          <cell r="F104">
            <v>130.6</v>
          </cell>
        </row>
        <row r="105">
          <cell r="F105">
            <v>131.69999999999999</v>
          </cell>
        </row>
        <row r="106">
          <cell r="F106">
            <v>131.69999999999999</v>
          </cell>
        </row>
        <row r="107">
          <cell r="F107">
            <v>131.80000000000001</v>
          </cell>
        </row>
        <row r="108">
          <cell r="F108">
            <v>291.05</v>
          </cell>
        </row>
        <row r="109">
          <cell r="F109">
            <v>286.29000000000002</v>
          </cell>
        </row>
        <row r="110">
          <cell r="F110">
            <v>286.83999999999997</v>
          </cell>
        </row>
        <row r="111">
          <cell r="F111">
            <v>290.3</v>
          </cell>
        </row>
        <row r="112">
          <cell r="F112">
            <v>389.4</v>
          </cell>
        </row>
        <row r="113">
          <cell r="F113">
            <v>370.14</v>
          </cell>
        </row>
        <row r="114">
          <cell r="F114">
            <v>356.49</v>
          </cell>
        </row>
        <row r="115">
          <cell r="F115">
            <v>378.75</v>
          </cell>
        </row>
        <row r="116">
          <cell r="F116">
            <v>356.36</v>
          </cell>
        </row>
        <row r="117">
          <cell r="F117">
            <v>335.61</v>
          </cell>
        </row>
        <row r="118">
          <cell r="F118">
            <v>335</v>
          </cell>
        </row>
        <row r="119">
          <cell r="F119">
            <v>345.41</v>
          </cell>
        </row>
        <row r="120">
          <cell r="F120">
            <v>340.1</v>
          </cell>
        </row>
        <row r="121">
          <cell r="F121">
            <v>340.1</v>
          </cell>
        </row>
        <row r="122">
          <cell r="F122">
            <v>0.71399999999999997</v>
          </cell>
        </row>
        <row r="123">
          <cell r="F123">
            <v>183.71</v>
          </cell>
        </row>
        <row r="124">
          <cell r="F124">
            <v>182.9</v>
          </cell>
        </row>
        <row r="125">
          <cell r="F125">
            <v>28.1</v>
          </cell>
        </row>
        <row r="126">
          <cell r="F126">
            <v>39.86</v>
          </cell>
        </row>
        <row r="127">
          <cell r="F127">
            <v>227.74</v>
          </cell>
        </row>
        <row r="128">
          <cell r="F128">
            <v>232.63</v>
          </cell>
        </row>
        <row r="129">
          <cell r="F129">
            <v>324.27999999999997</v>
          </cell>
        </row>
        <row r="130">
          <cell r="F130">
            <v>154.88</v>
          </cell>
        </row>
        <row r="131">
          <cell r="F131">
            <v>2.52</v>
          </cell>
        </row>
        <row r="132">
          <cell r="F132">
            <v>347.98</v>
          </cell>
        </row>
        <row r="133">
          <cell r="F133">
            <v>412.35</v>
          </cell>
        </row>
        <row r="134">
          <cell r="F134">
            <v>-3.02</v>
          </cell>
        </row>
        <row r="135">
          <cell r="F135">
            <v>6.66</v>
          </cell>
        </row>
        <row r="136">
          <cell r="F136">
            <v>1.8220000000000001</v>
          </cell>
        </row>
      </sheetData>
      <sheetData sheetId="2"/>
      <sheetData sheetId="3"/>
      <sheetData sheetId="4"/>
      <sheetData sheetId="5"/>
      <sheetData sheetId="6">
        <row r="42">
          <cell r="D42">
            <v>38.9</v>
          </cell>
        </row>
        <row r="47">
          <cell r="D47">
            <v>0.82699999999999996</v>
          </cell>
        </row>
        <row r="51">
          <cell r="D51">
            <v>3.11</v>
          </cell>
        </row>
        <row r="52">
          <cell r="D52">
            <v>1.39</v>
          </cell>
        </row>
        <row r="54">
          <cell r="D54">
            <v>0.8306</v>
          </cell>
        </row>
        <row r="55">
          <cell r="D55">
            <v>7.7799999999999994E-2</v>
          </cell>
        </row>
        <row r="75">
          <cell r="D75">
            <v>0.13300000000000001</v>
          </cell>
        </row>
        <row r="271">
          <cell r="D271">
            <v>51.2</v>
          </cell>
        </row>
        <row r="286">
          <cell r="D286">
            <v>0.58599999999999997</v>
          </cell>
        </row>
        <row r="287">
          <cell r="D287">
            <v>0.41399999999999998</v>
          </cell>
        </row>
        <row r="289">
          <cell r="D289">
            <v>0.77459999999999996</v>
          </cell>
        </row>
        <row r="290">
          <cell r="D290">
            <v>2.2599999999999999E-3</v>
          </cell>
        </row>
        <row r="332">
          <cell r="D332">
            <v>45.2</v>
          </cell>
        </row>
        <row r="347">
          <cell r="D347">
            <v>0.999</v>
          </cell>
        </row>
        <row r="348">
          <cell r="D348">
            <v>0.622</v>
          </cell>
        </row>
        <row r="350">
          <cell r="D350">
            <v>0.80089999999999995</v>
          </cell>
        </row>
        <row r="351">
          <cell r="D351">
            <v>1.0999999999999999E-2</v>
          </cell>
        </row>
        <row r="393">
          <cell r="D393">
            <v>35.700000000000003</v>
          </cell>
        </row>
        <row r="408">
          <cell r="D408">
            <v>3.18</v>
          </cell>
        </row>
        <row r="409">
          <cell r="D409">
            <v>1.45</v>
          </cell>
        </row>
        <row r="411">
          <cell r="D411">
            <v>0.84640000000000004</v>
          </cell>
        </row>
        <row r="412">
          <cell r="D412">
            <v>8.0100000000000005E-2</v>
          </cell>
        </row>
        <row r="455">
          <cell r="D455">
            <v>36.200000000000003</v>
          </cell>
        </row>
        <row r="470">
          <cell r="D470">
            <v>2.62</v>
          </cell>
        </row>
        <row r="471">
          <cell r="D471">
            <v>1.25</v>
          </cell>
        </row>
        <row r="473">
          <cell r="D473">
            <v>0.84370000000000001</v>
          </cell>
        </row>
        <row r="474">
          <cell r="D474">
            <v>6.3700000000000007E-2</v>
          </cell>
        </row>
        <row r="686">
          <cell r="D686">
            <v>2.31</v>
          </cell>
        </row>
        <row r="691">
          <cell r="D691">
            <v>40.299999999999997</v>
          </cell>
        </row>
        <row r="692">
          <cell r="D692">
            <v>8.6300000000000008</v>
          </cell>
        </row>
        <row r="694">
          <cell r="D694">
            <v>0.88759999999999994</v>
          </cell>
        </row>
        <row r="695">
          <cell r="D695">
            <v>0.14000000000000001</v>
          </cell>
        </row>
        <row r="714">
          <cell r="D714">
            <v>0.37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6B896-EE1C-46E0-94F0-DDE674E824B1}">
  <dimension ref="A1:AW267"/>
  <sheetViews>
    <sheetView tabSelected="1" topLeftCell="T1" zoomScale="57" zoomScaleNormal="85" workbookViewId="0">
      <selection activeCell="AA26" sqref="AA26"/>
    </sheetView>
  </sheetViews>
  <sheetFormatPr defaultRowHeight="16.8" x14ac:dyDescent="0.4"/>
  <cols>
    <col min="1" max="1" width="21.69921875" customWidth="1"/>
    <col min="2" max="2" width="27.3984375" bestFit="1" customWidth="1"/>
    <col min="3" max="3" width="46.69921875" customWidth="1"/>
    <col min="4" max="4" width="13.296875" customWidth="1"/>
    <col min="5" max="5" width="20" customWidth="1"/>
    <col min="7" max="7" width="25" customWidth="1"/>
    <col min="8" max="8" width="50" customWidth="1"/>
    <col min="9" max="9" width="11.69921875" customWidth="1"/>
    <col min="10" max="10" width="23.296875" customWidth="1"/>
    <col min="12" max="12" width="20.796875" customWidth="1"/>
    <col min="13" max="13" width="28.296875" customWidth="1"/>
    <col min="14" max="14" width="61" bestFit="1" customWidth="1"/>
    <col min="15" max="15" width="41.19921875" bestFit="1" customWidth="1"/>
    <col min="16" max="16" width="15" customWidth="1"/>
    <col min="17" max="17" width="10.796875" customWidth="1"/>
    <col min="18" max="18" width="13.296875" customWidth="1"/>
    <col min="19" max="19" width="17.5" customWidth="1"/>
    <col min="20" max="20" width="20" customWidth="1"/>
    <col min="21" max="24" width="11.69921875" customWidth="1"/>
    <col min="25" max="25" width="13.69921875" customWidth="1"/>
    <col min="26" max="26" width="12" customWidth="1"/>
    <col min="27" max="27" width="12.5" customWidth="1"/>
    <col min="28" max="32" width="10" customWidth="1"/>
    <col min="33" max="33" width="13.69921875" customWidth="1"/>
    <col min="34" max="34" width="12" customWidth="1"/>
    <col min="35" max="35" width="12.5" customWidth="1"/>
    <col min="36" max="36" width="10" customWidth="1"/>
    <col min="37" max="37" width="14.19921875" hidden="1" customWidth="1"/>
    <col min="38" max="38" width="13.296875" hidden="1" customWidth="1"/>
    <col min="39" max="41" width="10" hidden="1" customWidth="1"/>
    <col min="42" max="42" width="57.8984375" bestFit="1" customWidth="1"/>
    <col min="43" max="43" width="18.69921875" customWidth="1"/>
    <col min="44" max="44" width="19.3984375" customWidth="1"/>
    <col min="45" max="45" width="14.59765625" customWidth="1"/>
    <col min="46" max="46" width="13.296875" customWidth="1"/>
    <col min="47" max="47" width="14.59765625" customWidth="1"/>
  </cols>
  <sheetData>
    <row r="1" spans="1:49" ht="30" customHeight="1" thickBot="1" x14ac:dyDescent="0.5">
      <c r="A1" s="1" t="s">
        <v>0</v>
      </c>
      <c r="G1" s="2" t="s">
        <v>1</v>
      </c>
      <c r="H1" s="2"/>
      <c r="I1" s="2"/>
      <c r="J1" s="3"/>
      <c r="L1" s="4" t="s">
        <v>2</v>
      </c>
      <c r="M1" s="4"/>
      <c r="N1" s="4"/>
      <c r="O1" s="4"/>
      <c r="P1" s="5" t="s">
        <v>3</v>
      </c>
      <c r="R1" s="6" t="s">
        <v>4</v>
      </c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9" ht="22.05" customHeight="1" x14ac:dyDescent="0.4">
      <c r="G2" s="7" t="s">
        <v>5</v>
      </c>
      <c r="H2" s="7" t="s">
        <v>6</v>
      </c>
      <c r="I2" s="7" t="s">
        <v>7</v>
      </c>
      <c r="J2" s="7" t="s">
        <v>8</v>
      </c>
      <c r="L2" s="8" t="s">
        <v>9</v>
      </c>
      <c r="M2" s="8" t="s">
        <v>10</v>
      </c>
      <c r="N2" s="8"/>
      <c r="O2" s="8"/>
      <c r="R2" s="9" t="s">
        <v>11</v>
      </c>
      <c r="S2" s="9"/>
      <c r="T2" s="9"/>
      <c r="U2" s="9"/>
      <c r="V2" s="10" t="s">
        <v>12</v>
      </c>
      <c r="W2" s="10"/>
      <c r="X2" s="10"/>
      <c r="Y2" s="10"/>
      <c r="Z2" s="10"/>
      <c r="AA2" s="10"/>
      <c r="AB2" s="10"/>
      <c r="AC2" s="11" t="s">
        <v>13</v>
      </c>
      <c r="AD2" s="11"/>
      <c r="AE2" s="11"/>
      <c r="AF2" s="11"/>
      <c r="AG2" s="11"/>
      <c r="AH2" s="11"/>
      <c r="AI2" s="11"/>
      <c r="AJ2" s="11"/>
      <c r="AK2" s="12" t="s">
        <v>14</v>
      </c>
      <c r="AL2" s="12"/>
      <c r="AM2" s="12"/>
      <c r="AN2" s="12"/>
      <c r="AO2" s="12"/>
      <c r="AP2" s="13" t="s">
        <v>15</v>
      </c>
    </row>
    <row r="3" spans="1:49" ht="46.05" customHeight="1" x14ac:dyDescent="0.4">
      <c r="A3" s="14" t="s">
        <v>9</v>
      </c>
      <c r="B3" s="14" t="s">
        <v>10</v>
      </c>
      <c r="C3" s="14"/>
      <c r="D3" s="14"/>
      <c r="E3" s="15"/>
      <c r="G3" s="16" t="s">
        <v>16</v>
      </c>
      <c r="H3" s="16" t="s">
        <v>17</v>
      </c>
      <c r="I3" s="16">
        <v>67.099999999999994</v>
      </c>
      <c r="J3" s="16"/>
      <c r="L3" s="17" t="s">
        <v>18</v>
      </c>
      <c r="M3" s="17" t="s">
        <v>19</v>
      </c>
      <c r="N3" s="17" t="s">
        <v>20</v>
      </c>
      <c r="O3" s="17" t="s">
        <v>21</v>
      </c>
      <c r="P3" s="18" t="s">
        <v>7</v>
      </c>
      <c r="R3" s="19" t="s">
        <v>22</v>
      </c>
      <c r="S3" s="19" t="s">
        <v>23</v>
      </c>
      <c r="T3" s="19" t="s">
        <v>24</v>
      </c>
      <c r="U3" s="19" t="s">
        <v>25</v>
      </c>
      <c r="V3" s="20" t="s">
        <v>26</v>
      </c>
      <c r="W3" s="20" t="s">
        <v>27</v>
      </c>
      <c r="X3" s="20" t="s">
        <v>28</v>
      </c>
      <c r="Y3" s="19" t="s">
        <v>29</v>
      </c>
      <c r="Z3" s="19" t="s">
        <v>30</v>
      </c>
      <c r="AA3" s="19" t="s">
        <v>31</v>
      </c>
      <c r="AB3" s="19" t="s">
        <v>32</v>
      </c>
      <c r="AC3" s="20" t="s">
        <v>26</v>
      </c>
      <c r="AD3" s="20" t="s">
        <v>27</v>
      </c>
      <c r="AE3" s="20" t="s">
        <v>28</v>
      </c>
      <c r="AF3" s="21" t="s">
        <v>33</v>
      </c>
      <c r="AG3" s="19" t="s">
        <v>29</v>
      </c>
      <c r="AH3" s="19" t="s">
        <v>30</v>
      </c>
      <c r="AI3" s="19" t="s">
        <v>31</v>
      </c>
      <c r="AJ3" s="19" t="s">
        <v>32</v>
      </c>
      <c r="AK3" s="19" t="s">
        <v>34</v>
      </c>
      <c r="AL3" s="19" t="s">
        <v>35</v>
      </c>
      <c r="AM3" s="19" t="s">
        <v>36</v>
      </c>
      <c r="AN3" s="19" t="s">
        <v>37</v>
      </c>
      <c r="AO3" s="19" t="s">
        <v>38</v>
      </c>
      <c r="AP3" s="19" t="s">
        <v>15</v>
      </c>
      <c r="AQ3" s="19" t="s">
        <v>39</v>
      </c>
      <c r="AR3" s="19" t="s">
        <v>40</v>
      </c>
      <c r="AS3" s="19" t="s">
        <v>41</v>
      </c>
      <c r="AT3" s="19" t="s">
        <v>41</v>
      </c>
      <c r="AU3" s="19"/>
      <c r="AV3" s="19"/>
      <c r="AW3" s="19"/>
    </row>
    <row r="4" spans="1:49" ht="18" customHeight="1" x14ac:dyDescent="0.4">
      <c r="A4" s="22" t="s">
        <v>18</v>
      </c>
      <c r="B4" s="22" t="s">
        <v>42</v>
      </c>
      <c r="C4" s="22" t="s">
        <v>43</v>
      </c>
      <c r="D4" s="22" t="s">
        <v>7</v>
      </c>
      <c r="G4" s="23" t="s">
        <v>44</v>
      </c>
      <c r="H4" s="23" t="s">
        <v>45</v>
      </c>
      <c r="I4" s="23">
        <v>109</v>
      </c>
      <c r="J4" s="23"/>
      <c r="L4" s="24" t="s">
        <v>46</v>
      </c>
      <c r="M4" s="25" t="s">
        <v>47</v>
      </c>
      <c r="N4" s="25" t="s">
        <v>48</v>
      </c>
      <c r="O4" s="26" t="s">
        <v>49</v>
      </c>
      <c r="P4" s="27">
        <f>'[1]Example Crude Property'!D42</f>
        <v>38.9</v>
      </c>
      <c r="R4" s="28"/>
      <c r="S4" s="28"/>
      <c r="T4" s="28"/>
      <c r="U4" s="28"/>
      <c r="V4" s="28"/>
      <c r="W4" s="28"/>
      <c r="X4" s="28"/>
      <c r="Y4" s="28" t="s">
        <v>50</v>
      </c>
      <c r="Z4" s="28" t="s">
        <v>51</v>
      </c>
      <c r="AA4" s="28" t="s">
        <v>52</v>
      </c>
      <c r="AB4" s="28" t="s">
        <v>53</v>
      </c>
      <c r="AC4" s="29" t="s">
        <v>54</v>
      </c>
      <c r="AD4" s="29" t="s">
        <v>54</v>
      </c>
      <c r="AE4" s="29" t="s">
        <v>54</v>
      </c>
      <c r="AF4" s="29"/>
      <c r="AG4" s="28" t="s">
        <v>50</v>
      </c>
      <c r="AH4" s="28" t="s">
        <v>51</v>
      </c>
      <c r="AI4" s="28" t="s">
        <v>52</v>
      </c>
      <c r="AJ4" s="28" t="s">
        <v>53</v>
      </c>
      <c r="AK4" s="28" t="s">
        <v>55</v>
      </c>
      <c r="AL4" s="28" t="s">
        <v>56</v>
      </c>
      <c r="AM4" s="28" t="s">
        <v>57</v>
      </c>
      <c r="AN4" s="28"/>
      <c r="AO4" s="28" t="s">
        <v>57</v>
      </c>
      <c r="AP4" s="28"/>
      <c r="AQ4" s="28" t="s">
        <v>58</v>
      </c>
      <c r="AR4" s="28" t="s">
        <v>58</v>
      </c>
      <c r="AS4" s="28"/>
      <c r="AT4" s="28"/>
      <c r="AU4" s="28"/>
      <c r="AV4" s="28"/>
      <c r="AW4" s="28"/>
    </row>
    <row r="5" spans="1:49" ht="22.05" customHeight="1" x14ac:dyDescent="0.4">
      <c r="A5" s="30" t="s">
        <v>59</v>
      </c>
      <c r="B5" s="30" t="s">
        <v>60</v>
      </c>
      <c r="C5" s="30" t="s">
        <v>61</v>
      </c>
      <c r="D5" s="30">
        <f>'[1]Key Control'!F9</f>
        <v>194.2</v>
      </c>
      <c r="G5" s="23" t="s">
        <v>62</v>
      </c>
      <c r="H5" s="23" t="s">
        <v>63</v>
      </c>
      <c r="I5" s="23">
        <v>2.52</v>
      </c>
      <c r="J5" s="23" t="s">
        <v>64</v>
      </c>
      <c r="L5" s="31"/>
      <c r="M5" s="31"/>
      <c r="N5" s="31" t="s">
        <v>65</v>
      </c>
      <c r="O5" s="32" t="s">
        <v>49</v>
      </c>
      <c r="P5" s="27">
        <f>'[1]Example Crude Property'!D54</f>
        <v>0.8306</v>
      </c>
      <c r="R5" s="33" t="s">
        <v>66</v>
      </c>
      <c r="S5" s="34" t="s">
        <v>67</v>
      </c>
      <c r="T5" s="34" t="s">
        <v>68</v>
      </c>
      <c r="U5" s="35" t="s">
        <v>69</v>
      </c>
      <c r="V5" s="35"/>
      <c r="W5" s="35"/>
      <c r="X5" s="35"/>
      <c r="Y5" s="36"/>
      <c r="Z5" s="36"/>
      <c r="AA5" s="37">
        <v>431.7</v>
      </c>
      <c r="AB5" s="37"/>
      <c r="AC5" s="38">
        <v>37.44</v>
      </c>
      <c r="AD5" s="38">
        <v>94.38</v>
      </c>
      <c r="AE5" s="39">
        <f>(AC5+AD5)/2</f>
        <v>65.91</v>
      </c>
      <c r="AF5" s="40">
        <f>$P$5</f>
        <v>0.8306</v>
      </c>
      <c r="AG5" s="41">
        <f>ROUND((1.685+0.00339*AE5)/(SQRT(AF5)),2)</f>
        <v>2.09</v>
      </c>
      <c r="AH5" s="41">
        <f>ROUND(((AF5*999.016)*EXP(-(613.9723/((AF5*999.016)^2))*(AE5-15.6)*(1+0.8*(613.9723/((AF5*999.016)^2))*(AE5-15.6)))),0)</f>
        <v>792</v>
      </c>
      <c r="AI5" s="37">
        <v>194.2</v>
      </c>
      <c r="AJ5" s="42">
        <f>AI5*AH5/(60*60)</f>
        <v>42.723999999999997</v>
      </c>
      <c r="AK5" s="36">
        <v>1433</v>
      </c>
      <c r="AL5" s="36"/>
      <c r="AM5" s="36"/>
      <c r="AN5" s="36"/>
      <c r="AO5" s="36"/>
      <c r="AP5" s="34" t="s">
        <v>70</v>
      </c>
      <c r="AQ5" s="43">
        <f>AJ5*AG5*(AD5-AC5)</f>
        <v>5084.3525303999986</v>
      </c>
    </row>
    <row r="6" spans="1:49" ht="22.05" customHeight="1" x14ac:dyDescent="0.4">
      <c r="A6" s="30" t="s">
        <v>59</v>
      </c>
      <c r="B6" s="30" t="s">
        <v>71</v>
      </c>
      <c r="C6" s="30" t="s">
        <v>72</v>
      </c>
      <c r="D6" s="30">
        <v>37.44</v>
      </c>
      <c r="G6" s="16" t="s">
        <v>73</v>
      </c>
      <c r="H6" s="16" t="s">
        <v>74</v>
      </c>
      <c r="I6" s="16">
        <v>130.6</v>
      </c>
      <c r="J6" s="16" t="s">
        <v>75</v>
      </c>
      <c r="L6" s="31"/>
      <c r="M6" s="31"/>
      <c r="N6" s="31" t="s">
        <v>76</v>
      </c>
      <c r="O6" s="32" t="s">
        <v>49</v>
      </c>
      <c r="P6" s="27">
        <f>'[1]Example Crude Property'!D51</f>
        <v>3.11</v>
      </c>
      <c r="R6" s="44" t="s">
        <v>77</v>
      </c>
      <c r="S6" s="45" t="s">
        <v>67</v>
      </c>
      <c r="T6" s="45" t="s">
        <v>68</v>
      </c>
      <c r="U6" s="35" t="s">
        <v>69</v>
      </c>
      <c r="V6" s="35"/>
      <c r="W6" s="35"/>
      <c r="X6" s="35"/>
      <c r="Y6" s="36"/>
      <c r="Z6" s="36"/>
      <c r="AA6" s="46">
        <v>468.2</v>
      </c>
      <c r="AB6" s="46"/>
      <c r="AC6" s="38">
        <v>37.44</v>
      </c>
      <c r="AD6" s="38">
        <v>97.06</v>
      </c>
      <c r="AE6" s="39">
        <f>(AC6+AD6)/2</f>
        <v>67.25</v>
      </c>
      <c r="AF6" s="40">
        <f t="shared" ref="AF6:AF21" si="0">$P$5</f>
        <v>0.8306</v>
      </c>
      <c r="AG6" s="41">
        <f t="shared" ref="AG6:AG21" si="1">ROUND((1.685+0.00339*AE6)/(SQRT(AF6)),2)</f>
        <v>2.1</v>
      </c>
      <c r="AH6" s="41">
        <f t="shared" ref="AH6:AH21" si="2">ROUND(((AF6*999.016)*EXP(-(613.9723/((AF6*999.016)^2))*(AE6-15.6)*(1+0.8*(613.9723/((AF6*999.016)^2))*(AE6-15.6)))),0)</f>
        <v>791</v>
      </c>
      <c r="AI6" s="46">
        <v>157.1</v>
      </c>
      <c r="AJ6" s="42">
        <f t="shared" ref="AJ6:AJ21" si="3">AI6*AH6/(60*60)</f>
        <v>34.518361111111112</v>
      </c>
      <c r="AK6" s="36"/>
      <c r="AL6" s="36"/>
      <c r="AM6" s="36"/>
      <c r="AN6" s="36"/>
      <c r="AO6" s="36"/>
      <c r="AP6" s="45" t="s">
        <v>78</v>
      </c>
      <c r="AQ6" s="43">
        <f>AJ6*AG6*(AD6-AC6)</f>
        <v>4321.7678478333346</v>
      </c>
    </row>
    <row r="7" spans="1:49" ht="22.05" customHeight="1" x14ac:dyDescent="0.4">
      <c r="A7" s="30" t="s">
        <v>59</v>
      </c>
      <c r="B7" s="30" t="s">
        <v>79</v>
      </c>
      <c r="C7" s="30" t="s">
        <v>80</v>
      </c>
      <c r="D7" s="30">
        <f>'[1]Key Control'!F11</f>
        <v>94.38</v>
      </c>
      <c r="G7" s="47" t="s">
        <v>81</v>
      </c>
      <c r="H7" s="47" t="s">
        <v>82</v>
      </c>
      <c r="I7" s="47">
        <v>131.69999999999999</v>
      </c>
      <c r="J7" s="47" t="s">
        <v>75</v>
      </c>
      <c r="L7" s="31"/>
      <c r="M7" s="31"/>
      <c r="N7" s="31" t="s">
        <v>83</v>
      </c>
      <c r="O7" s="32" t="s">
        <v>49</v>
      </c>
      <c r="P7" s="27">
        <f>'[1]Example Crude Property'!D52</f>
        <v>1.39</v>
      </c>
      <c r="R7" s="33" t="s">
        <v>84</v>
      </c>
      <c r="S7" s="34" t="s">
        <v>67</v>
      </c>
      <c r="T7" s="34" t="s">
        <v>68</v>
      </c>
      <c r="U7" s="35" t="s">
        <v>69</v>
      </c>
      <c r="V7" s="35"/>
      <c r="W7" s="35"/>
      <c r="X7" s="35"/>
      <c r="Y7" s="36"/>
      <c r="Z7" s="36"/>
      <c r="AA7" s="37">
        <v>468.2</v>
      </c>
      <c r="AB7" s="37"/>
      <c r="AC7" s="38">
        <v>37.44</v>
      </c>
      <c r="AD7" s="38">
        <v>97.06</v>
      </c>
      <c r="AE7" s="39">
        <f>(AC7+AD7)/2</f>
        <v>67.25</v>
      </c>
      <c r="AF7" s="40">
        <f t="shared" si="0"/>
        <v>0.8306</v>
      </c>
      <c r="AG7" s="41">
        <f t="shared" si="1"/>
        <v>2.1</v>
      </c>
      <c r="AH7" s="41">
        <f t="shared" si="2"/>
        <v>791</v>
      </c>
      <c r="AI7" s="37">
        <v>157.1</v>
      </c>
      <c r="AJ7" s="42">
        <f t="shared" si="3"/>
        <v>34.518361111111112</v>
      </c>
      <c r="AK7" s="36"/>
      <c r="AL7" s="36"/>
      <c r="AM7" s="36"/>
      <c r="AN7" s="36"/>
      <c r="AO7" s="36"/>
      <c r="AP7" s="34" t="s">
        <v>85</v>
      </c>
      <c r="AQ7" s="43">
        <f>AJ7*AG7*(AD7-AC7)</f>
        <v>4321.7678478333346</v>
      </c>
    </row>
    <row r="8" spans="1:49" ht="22.05" customHeight="1" x14ac:dyDescent="0.4">
      <c r="A8" s="30" t="s">
        <v>86</v>
      </c>
      <c r="B8" s="30" t="s">
        <v>87</v>
      </c>
      <c r="C8" s="30" t="s">
        <v>88</v>
      </c>
      <c r="D8" s="30">
        <f>'[1]Key Control'!F21</f>
        <v>116.43</v>
      </c>
      <c r="G8" s="16" t="s">
        <v>89</v>
      </c>
      <c r="H8" s="16" t="s">
        <v>90</v>
      </c>
      <c r="I8" s="16">
        <v>131.69999999999999</v>
      </c>
      <c r="J8" s="16" t="s">
        <v>75</v>
      </c>
      <c r="L8" s="31"/>
      <c r="M8" s="31"/>
      <c r="N8" s="31" t="s">
        <v>91</v>
      </c>
      <c r="O8" s="32" t="s">
        <v>49</v>
      </c>
      <c r="P8" s="27">
        <f>'[1]Example Crude Property'!D55</f>
        <v>7.7799999999999994E-2</v>
      </c>
      <c r="R8" s="44" t="s">
        <v>92</v>
      </c>
      <c r="S8" s="45" t="s">
        <v>67</v>
      </c>
      <c r="T8" s="45" t="s">
        <v>68</v>
      </c>
      <c r="U8" s="35" t="s">
        <v>69</v>
      </c>
      <c r="V8" s="35"/>
      <c r="W8" s="35"/>
      <c r="X8" s="35"/>
      <c r="Y8" s="36"/>
      <c r="Z8" s="36"/>
      <c r="AA8" s="46">
        <v>325</v>
      </c>
      <c r="AB8" s="46"/>
      <c r="AC8" s="38">
        <v>37.44</v>
      </c>
      <c r="AD8" s="38">
        <v>83.81</v>
      </c>
      <c r="AE8" s="39">
        <f>(AC8+AD8)/2</f>
        <v>60.625</v>
      </c>
      <c r="AF8" s="40">
        <f t="shared" si="0"/>
        <v>0.8306</v>
      </c>
      <c r="AG8" s="41">
        <f t="shared" si="1"/>
        <v>2.0699999999999998</v>
      </c>
      <c r="AH8" s="41">
        <f t="shared" si="2"/>
        <v>796</v>
      </c>
      <c r="AI8" s="46">
        <v>188.7</v>
      </c>
      <c r="AJ8" s="42">
        <f t="shared" si="3"/>
        <v>41.723666666666659</v>
      </c>
      <c r="AK8" s="36"/>
      <c r="AL8" s="36"/>
      <c r="AM8" s="36"/>
      <c r="AN8" s="36"/>
      <c r="AO8" s="36"/>
      <c r="AP8" s="45" t="s">
        <v>93</v>
      </c>
      <c r="AQ8" s="43">
        <f>AJ8*AG8*(AD8-AC8)</f>
        <v>4004.8836962999994</v>
      </c>
    </row>
    <row r="9" spans="1:49" ht="22.05" customHeight="1" x14ac:dyDescent="0.4">
      <c r="A9" s="30" t="s">
        <v>86</v>
      </c>
      <c r="B9" s="30" t="s">
        <v>94</v>
      </c>
      <c r="C9" s="30" t="s">
        <v>95</v>
      </c>
      <c r="D9" s="30">
        <f>'[1]Key Control'!F22</f>
        <v>91.64</v>
      </c>
      <c r="G9" s="47" t="s">
        <v>96</v>
      </c>
      <c r="H9" s="47" t="s">
        <v>97</v>
      </c>
      <c r="I9" s="47">
        <v>131.80000000000001</v>
      </c>
      <c r="J9" s="47" t="s">
        <v>75</v>
      </c>
      <c r="L9" s="31"/>
      <c r="M9" s="31"/>
      <c r="N9" s="31" t="s">
        <v>98</v>
      </c>
      <c r="O9" s="48" t="s">
        <v>99</v>
      </c>
      <c r="P9" s="27">
        <f>'[1]Example Crude Property'!D75</f>
        <v>0.13300000000000001</v>
      </c>
      <c r="R9" s="33" t="s">
        <v>100</v>
      </c>
      <c r="S9" s="34" t="s">
        <v>67</v>
      </c>
      <c r="T9" s="34" t="s">
        <v>68</v>
      </c>
      <c r="U9" s="35" t="s">
        <v>69</v>
      </c>
      <c r="V9" s="35"/>
      <c r="W9" s="35"/>
      <c r="X9" s="35"/>
      <c r="Y9" s="36"/>
      <c r="Z9" s="36"/>
      <c r="AA9" s="37">
        <v>325</v>
      </c>
      <c r="AB9" s="37"/>
      <c r="AC9" s="38">
        <v>37.44</v>
      </c>
      <c r="AD9" s="38">
        <v>83.81</v>
      </c>
      <c r="AE9" s="39">
        <f>(AC9+AD9)/2</f>
        <v>60.625</v>
      </c>
      <c r="AF9" s="40">
        <f t="shared" si="0"/>
        <v>0.8306</v>
      </c>
      <c r="AG9" s="41">
        <f t="shared" si="1"/>
        <v>2.0699999999999998</v>
      </c>
      <c r="AH9" s="41">
        <f t="shared" si="2"/>
        <v>796</v>
      </c>
      <c r="AI9" s="37">
        <v>188.7</v>
      </c>
      <c r="AJ9" s="42">
        <f t="shared" si="3"/>
        <v>41.723666666666659</v>
      </c>
      <c r="AK9" s="36"/>
      <c r="AL9" s="36"/>
      <c r="AM9" s="36"/>
      <c r="AN9" s="36"/>
      <c r="AO9" s="36"/>
      <c r="AP9" s="34" t="s">
        <v>101</v>
      </c>
      <c r="AQ9" s="43">
        <f>AJ9*AG9*(AD9-AC9)</f>
        <v>4004.8836962999994</v>
      </c>
    </row>
    <row r="10" spans="1:49" ht="22.05" customHeight="1" x14ac:dyDescent="0.4">
      <c r="A10" s="30" t="s">
        <v>86</v>
      </c>
      <c r="B10" s="30" t="s">
        <v>102</v>
      </c>
      <c r="C10" s="30" t="s">
        <v>103</v>
      </c>
      <c r="D10" s="30">
        <f>'[1]Key Control'!F29</f>
        <v>431.7</v>
      </c>
      <c r="G10" s="16" t="s">
        <v>104</v>
      </c>
      <c r="H10" s="16" t="s">
        <v>105</v>
      </c>
      <c r="I10" s="16">
        <v>136.4</v>
      </c>
      <c r="J10" s="16" t="s">
        <v>75</v>
      </c>
      <c r="L10" s="31"/>
      <c r="M10" s="31"/>
      <c r="N10" s="31" t="s">
        <v>106</v>
      </c>
      <c r="O10" s="48" t="s">
        <v>99</v>
      </c>
      <c r="P10" s="27">
        <f>'[1]Example Crude Property'!D47</f>
        <v>0.82699999999999996</v>
      </c>
      <c r="R10" s="44" t="s">
        <v>107</v>
      </c>
      <c r="S10" s="45" t="s">
        <v>108</v>
      </c>
      <c r="T10" s="45" t="s">
        <v>109</v>
      </c>
      <c r="U10" s="35" t="s">
        <v>69</v>
      </c>
      <c r="V10" s="35"/>
      <c r="W10" s="35"/>
      <c r="X10" s="35"/>
      <c r="Y10" s="36"/>
      <c r="Z10" s="49" t="s">
        <v>110</v>
      </c>
      <c r="AA10" s="46">
        <v>109</v>
      </c>
      <c r="AB10" s="46"/>
      <c r="AC10" s="38">
        <v>91.58</v>
      </c>
      <c r="AD10" s="38">
        <v>99.69</v>
      </c>
      <c r="AE10" s="39">
        <f>(AC10+AD10)/2</f>
        <v>95.634999999999991</v>
      </c>
      <c r="AF10" s="40">
        <f t="shared" si="0"/>
        <v>0.8306</v>
      </c>
      <c r="AG10" s="41">
        <f t="shared" si="1"/>
        <v>2.2000000000000002</v>
      </c>
      <c r="AH10" s="41">
        <f t="shared" si="2"/>
        <v>769</v>
      </c>
      <c r="AI10" s="46">
        <v>540</v>
      </c>
      <c r="AJ10" s="42">
        <f t="shared" si="3"/>
        <v>115.35</v>
      </c>
      <c r="AK10" s="36"/>
      <c r="AL10" s="36"/>
      <c r="AM10" s="36"/>
      <c r="AN10" s="36"/>
      <c r="AO10" s="36"/>
      <c r="AP10" s="45" t="s">
        <v>111</v>
      </c>
      <c r="AQ10" s="43">
        <f>AJ10*AG10*(AD10-AC10)</f>
        <v>2058.0747000000001</v>
      </c>
    </row>
    <row r="11" spans="1:49" ht="22.05" customHeight="1" x14ac:dyDescent="0.4">
      <c r="A11" s="30"/>
      <c r="B11" s="30"/>
      <c r="C11" s="30"/>
      <c r="D11" s="30"/>
      <c r="G11" s="47" t="s">
        <v>112</v>
      </c>
      <c r="H11" s="47" t="s">
        <v>113</v>
      </c>
      <c r="I11" s="47">
        <v>67.099999999999994</v>
      </c>
      <c r="J11" s="47" t="s">
        <v>75</v>
      </c>
      <c r="L11" s="31"/>
      <c r="M11" s="31"/>
      <c r="N11" s="31" t="s">
        <v>114</v>
      </c>
      <c r="O11" s="48" t="s">
        <v>99</v>
      </c>
      <c r="P11" s="50"/>
      <c r="R11" s="33" t="s">
        <v>115</v>
      </c>
      <c r="S11" s="34" t="s">
        <v>116</v>
      </c>
      <c r="T11" s="34" t="s">
        <v>117</v>
      </c>
      <c r="U11" s="35" t="s">
        <v>69</v>
      </c>
      <c r="V11" s="35"/>
      <c r="W11" s="35"/>
      <c r="X11" s="35"/>
      <c r="Y11" s="36"/>
      <c r="Z11" s="36"/>
      <c r="AA11" s="37">
        <v>155.6</v>
      </c>
      <c r="AB11" s="37"/>
      <c r="AC11" s="51">
        <v>95.3</v>
      </c>
      <c r="AD11" s="51">
        <f>D52</f>
        <v>128.53</v>
      </c>
      <c r="AE11" s="39">
        <f>(AC11+AD11)/2</f>
        <v>111.91499999999999</v>
      </c>
      <c r="AF11" s="40">
        <f t="shared" si="0"/>
        <v>0.8306</v>
      </c>
      <c r="AG11" s="41">
        <f t="shared" si="1"/>
        <v>2.27</v>
      </c>
      <c r="AH11" s="41">
        <f t="shared" si="2"/>
        <v>757</v>
      </c>
      <c r="AI11" s="37">
        <v>235.4</v>
      </c>
      <c r="AJ11" s="42">
        <f t="shared" si="3"/>
        <v>49.499388888888895</v>
      </c>
      <c r="AK11" s="36"/>
      <c r="AL11" s="36"/>
      <c r="AM11" s="36"/>
      <c r="AN11" s="36"/>
      <c r="AO11" s="36"/>
      <c r="AP11" s="34" t="s">
        <v>118</v>
      </c>
      <c r="AQ11" s="43">
        <f>AJ11*AG11*(AD11-AC11)</f>
        <v>3733.8428526055563</v>
      </c>
    </row>
    <row r="12" spans="1:49" ht="22.05" customHeight="1" x14ac:dyDescent="0.4">
      <c r="A12" s="14" t="s">
        <v>119</v>
      </c>
      <c r="B12" s="14" t="s">
        <v>10</v>
      </c>
      <c r="C12" s="14"/>
      <c r="D12" s="14"/>
      <c r="E12" s="15"/>
      <c r="G12" s="16" t="s">
        <v>60</v>
      </c>
      <c r="H12" s="16" t="s">
        <v>120</v>
      </c>
      <c r="I12" s="16">
        <v>194.2</v>
      </c>
      <c r="J12" s="16" t="s">
        <v>121</v>
      </c>
      <c r="L12" s="52" t="s">
        <v>86</v>
      </c>
      <c r="M12" s="53" t="s">
        <v>122</v>
      </c>
      <c r="N12" s="53" t="s">
        <v>48</v>
      </c>
      <c r="O12" s="54" t="s">
        <v>49</v>
      </c>
      <c r="P12" s="27">
        <f>'[1]Example Crude Property'!D271</f>
        <v>51.2</v>
      </c>
      <c r="R12" s="44" t="s">
        <v>123</v>
      </c>
      <c r="S12" s="45" t="s">
        <v>116</v>
      </c>
      <c r="T12" s="45" t="s">
        <v>124</v>
      </c>
      <c r="U12" s="35" t="s">
        <v>69</v>
      </c>
      <c r="V12" s="35"/>
      <c r="W12" s="35"/>
      <c r="X12" s="35"/>
      <c r="Y12" s="36"/>
      <c r="Z12" s="36"/>
      <c r="AA12" s="46">
        <v>155.6</v>
      </c>
      <c r="AB12" s="46"/>
      <c r="AC12" s="51">
        <f>AD11</f>
        <v>128.53</v>
      </c>
      <c r="AD12" s="51">
        <v>181.45</v>
      </c>
      <c r="AE12" s="39">
        <f>(AC12+AD12)/2</f>
        <v>154.99</v>
      </c>
      <c r="AF12" s="40">
        <f t="shared" si="0"/>
        <v>0.8306</v>
      </c>
      <c r="AG12" s="41">
        <f t="shared" si="1"/>
        <v>2.4300000000000002</v>
      </c>
      <c r="AH12" s="41">
        <f t="shared" si="2"/>
        <v>724</v>
      </c>
      <c r="AI12" s="46">
        <v>230.5</v>
      </c>
      <c r="AJ12" s="42">
        <f t="shared" si="3"/>
        <v>46.356111111111112</v>
      </c>
      <c r="AK12" s="36"/>
      <c r="AL12" s="36"/>
      <c r="AM12" s="36"/>
      <c r="AN12" s="36"/>
      <c r="AO12" s="36"/>
      <c r="AP12" s="45" t="s">
        <v>125</v>
      </c>
      <c r="AQ12" s="43">
        <f>AJ12*AG12*(AD12-AC12)</f>
        <v>5961.1919219999991</v>
      </c>
    </row>
    <row r="13" spans="1:49" ht="22.05" customHeight="1" x14ac:dyDescent="0.4">
      <c r="A13" s="22" t="s">
        <v>18</v>
      </c>
      <c r="B13" s="22" t="s">
        <v>42</v>
      </c>
      <c r="C13" s="22" t="s">
        <v>43</v>
      </c>
      <c r="D13" s="22" t="s">
        <v>7</v>
      </c>
      <c r="G13" s="47" t="s">
        <v>126</v>
      </c>
      <c r="H13" s="47" t="s">
        <v>127</v>
      </c>
      <c r="I13" s="47">
        <v>157.1</v>
      </c>
      <c r="J13" s="47" t="s">
        <v>121</v>
      </c>
      <c r="L13" s="53"/>
      <c r="M13" s="53"/>
      <c r="N13" s="53" t="s">
        <v>65</v>
      </c>
      <c r="O13" s="54" t="s">
        <v>49</v>
      </c>
      <c r="P13" s="27">
        <f>'[1]Example Crude Property'!D289</f>
        <v>0.77459999999999996</v>
      </c>
      <c r="R13" s="33" t="s">
        <v>128</v>
      </c>
      <c r="S13" s="34" t="s">
        <v>116</v>
      </c>
      <c r="T13" s="34" t="s">
        <v>129</v>
      </c>
      <c r="U13" s="35" t="s">
        <v>69</v>
      </c>
      <c r="V13" s="35"/>
      <c r="W13" s="35"/>
      <c r="X13" s="35"/>
      <c r="Y13" s="36"/>
      <c r="Z13" s="49" t="s">
        <v>110</v>
      </c>
      <c r="AA13" s="37">
        <v>136.4</v>
      </c>
      <c r="AB13" s="37"/>
      <c r="AC13" s="38">
        <v>181.45</v>
      </c>
      <c r="AD13" s="55">
        <v>196</v>
      </c>
      <c r="AE13" s="39">
        <f>(AC13+AD13)/2</f>
        <v>188.72499999999999</v>
      </c>
      <c r="AF13" s="40">
        <f t="shared" si="0"/>
        <v>0.8306</v>
      </c>
      <c r="AG13" s="41">
        <f t="shared" si="1"/>
        <v>2.5499999999999998</v>
      </c>
      <c r="AH13" s="41">
        <f t="shared" si="2"/>
        <v>698</v>
      </c>
      <c r="AI13" s="37">
        <v>332.24</v>
      </c>
      <c r="AJ13" s="42">
        <f t="shared" si="3"/>
        <v>64.417644444444448</v>
      </c>
      <c r="AK13" s="36"/>
      <c r="AL13" s="36"/>
      <c r="AM13" s="36"/>
      <c r="AN13" s="36"/>
      <c r="AO13" s="36"/>
      <c r="AP13" s="34" t="s">
        <v>130</v>
      </c>
      <c r="AQ13" s="43">
        <f>AJ13*AG13*(AD13-AC13)</f>
        <v>2390.0556530000017</v>
      </c>
    </row>
    <row r="14" spans="1:49" ht="22.05" customHeight="1" x14ac:dyDescent="0.4">
      <c r="A14" s="30" t="s">
        <v>59</v>
      </c>
      <c r="B14" s="30" t="s">
        <v>126</v>
      </c>
      <c r="C14" s="30" t="s">
        <v>61</v>
      </c>
      <c r="D14" s="30">
        <f>'[1]Key Control'!F12</f>
        <v>157.1</v>
      </c>
      <c r="G14" s="16" t="s">
        <v>131</v>
      </c>
      <c r="H14" s="16" t="s">
        <v>132</v>
      </c>
      <c r="I14" s="16">
        <v>188.7</v>
      </c>
      <c r="J14" s="16" t="s">
        <v>121</v>
      </c>
      <c r="L14" s="53"/>
      <c r="M14" s="53"/>
      <c r="N14" s="53" t="s">
        <v>76</v>
      </c>
      <c r="O14" s="54" t="s">
        <v>49</v>
      </c>
      <c r="P14" s="27">
        <f>'[1]Example Crude Property'!D286</f>
        <v>0.58599999999999997</v>
      </c>
      <c r="R14" s="44" t="s">
        <v>133</v>
      </c>
      <c r="S14" s="45" t="s">
        <v>116</v>
      </c>
      <c r="T14" s="45" t="s">
        <v>134</v>
      </c>
      <c r="U14" s="35" t="s">
        <v>69</v>
      </c>
      <c r="V14" s="35"/>
      <c r="W14" s="35"/>
      <c r="X14" s="35"/>
      <c r="Y14" s="36"/>
      <c r="Z14" s="36"/>
      <c r="AA14" s="46">
        <v>169.8</v>
      </c>
      <c r="AB14" s="46"/>
      <c r="AC14" s="38">
        <v>95.3</v>
      </c>
      <c r="AD14" s="38">
        <v>144.09</v>
      </c>
      <c r="AE14" s="39">
        <f>(AC14+AD14)/2</f>
        <v>119.69499999999999</v>
      </c>
      <c r="AF14" s="40">
        <f t="shared" si="0"/>
        <v>0.8306</v>
      </c>
      <c r="AG14" s="41">
        <f t="shared" si="1"/>
        <v>2.29</v>
      </c>
      <c r="AH14" s="41">
        <f t="shared" si="2"/>
        <v>751</v>
      </c>
      <c r="AI14" s="46">
        <v>154.5</v>
      </c>
      <c r="AJ14" s="42">
        <f t="shared" si="3"/>
        <v>32.230416666666663</v>
      </c>
      <c r="AK14" s="36"/>
      <c r="AL14" s="36"/>
      <c r="AM14" s="36"/>
      <c r="AN14" s="36"/>
      <c r="AO14" s="36"/>
      <c r="AP14" s="45" t="s">
        <v>135</v>
      </c>
      <c r="AQ14" s="43">
        <f>AJ14*AG14*(AD14-AC14)</f>
        <v>3601.0754467916672</v>
      </c>
    </row>
    <row r="15" spans="1:49" ht="22.05" customHeight="1" x14ac:dyDescent="0.4">
      <c r="A15" s="30" t="s">
        <v>59</v>
      </c>
      <c r="B15" s="30" t="s">
        <v>71</v>
      </c>
      <c r="C15" s="30" t="s">
        <v>72</v>
      </c>
      <c r="D15" s="30">
        <v>37.44</v>
      </c>
      <c r="G15" s="47" t="s">
        <v>102</v>
      </c>
      <c r="H15" s="47" t="s">
        <v>136</v>
      </c>
      <c r="I15" s="47">
        <v>431.7</v>
      </c>
      <c r="J15" s="47" t="s">
        <v>121</v>
      </c>
      <c r="L15" s="53"/>
      <c r="M15" s="53"/>
      <c r="N15" s="53" t="s">
        <v>83</v>
      </c>
      <c r="O15" s="54" t="s">
        <v>49</v>
      </c>
      <c r="P15" s="27">
        <f>'[1]Example Crude Property'!D287</f>
        <v>0.41399999999999998</v>
      </c>
      <c r="R15" s="33" t="s">
        <v>137</v>
      </c>
      <c r="S15" s="34" t="s">
        <v>138</v>
      </c>
      <c r="T15" s="34" t="s">
        <v>139</v>
      </c>
      <c r="U15" s="35" t="s">
        <v>69</v>
      </c>
      <c r="V15" s="35"/>
      <c r="W15" s="35"/>
      <c r="X15" s="35"/>
      <c r="Y15" s="56">
        <v>2.52</v>
      </c>
      <c r="Z15" s="49" t="s">
        <v>110</v>
      </c>
      <c r="AA15" s="37">
        <v>67.099999999999994</v>
      </c>
      <c r="AB15" s="37"/>
      <c r="AC15" s="38">
        <v>144.09</v>
      </c>
      <c r="AD15" s="57">
        <v>173.33</v>
      </c>
      <c r="AE15" s="39">
        <f>(AC15+AD15)/2</f>
        <v>158.71</v>
      </c>
      <c r="AF15" s="40">
        <f t="shared" si="0"/>
        <v>0.8306</v>
      </c>
      <c r="AG15" s="41">
        <f t="shared" si="1"/>
        <v>2.44</v>
      </c>
      <c r="AH15" s="41">
        <f t="shared" si="2"/>
        <v>721</v>
      </c>
      <c r="AI15" s="37">
        <v>154.5</v>
      </c>
      <c r="AJ15" s="42">
        <f>AI15*AH15/(60*60)</f>
        <v>30.942916666666665</v>
      </c>
      <c r="AK15" s="56">
        <v>279</v>
      </c>
      <c r="AL15" s="56">
        <v>480</v>
      </c>
      <c r="AM15" s="56">
        <v>2</v>
      </c>
      <c r="AN15" s="56">
        <v>4</v>
      </c>
      <c r="AO15" s="56"/>
      <c r="AP15" s="34" t="s">
        <v>140</v>
      </c>
      <c r="AQ15" s="43">
        <f>AJ15*AG15*(AD15-AC15)</f>
        <v>2207.6409553333337</v>
      </c>
    </row>
    <row r="16" spans="1:49" ht="22.05" customHeight="1" x14ac:dyDescent="0.4">
      <c r="A16" s="30" t="s">
        <v>59</v>
      </c>
      <c r="B16" s="30" t="s">
        <v>141</v>
      </c>
      <c r="C16" s="30" t="s">
        <v>80</v>
      </c>
      <c r="D16" s="30">
        <f>'[1]Key Control'!F14</f>
        <v>97.06</v>
      </c>
      <c r="G16" s="16" t="s">
        <v>142</v>
      </c>
      <c r="H16" s="16" t="s">
        <v>143</v>
      </c>
      <c r="I16" s="16">
        <v>468.2</v>
      </c>
      <c r="J16" s="16" t="s">
        <v>121</v>
      </c>
      <c r="L16" s="58"/>
      <c r="M16" s="58"/>
      <c r="N16" s="58" t="s">
        <v>91</v>
      </c>
      <c r="O16" s="59" t="s">
        <v>49</v>
      </c>
      <c r="P16" s="27">
        <f>'[1]Example Crude Property'!D290</f>
        <v>2.2599999999999999E-3</v>
      </c>
      <c r="R16" s="44" t="s">
        <v>144</v>
      </c>
      <c r="S16" s="45" t="s">
        <v>116</v>
      </c>
      <c r="T16" s="45" t="s">
        <v>145</v>
      </c>
      <c r="U16" s="35" t="s">
        <v>69</v>
      </c>
      <c r="V16" s="35"/>
      <c r="W16" s="35"/>
      <c r="X16" s="35"/>
      <c r="Y16" s="36"/>
      <c r="Z16" s="36"/>
      <c r="AA16" s="46">
        <v>188.12</v>
      </c>
      <c r="AB16" s="46"/>
      <c r="AC16" s="38">
        <v>173.33</v>
      </c>
      <c r="AD16" s="38">
        <v>210.06</v>
      </c>
      <c r="AE16" s="39">
        <f>(AC16+AD16)/2</f>
        <v>191.69499999999999</v>
      </c>
      <c r="AF16" s="40">
        <f t="shared" si="0"/>
        <v>0.8306</v>
      </c>
      <c r="AG16" s="41">
        <f t="shared" si="1"/>
        <v>2.56</v>
      </c>
      <c r="AH16" s="41">
        <f t="shared" si="2"/>
        <v>695</v>
      </c>
      <c r="AI16" s="46">
        <v>154.5</v>
      </c>
      <c r="AJ16" s="42">
        <f t="shared" si="3"/>
        <v>29.827083333333334</v>
      </c>
      <c r="AK16" s="36"/>
      <c r="AL16" s="36"/>
      <c r="AM16" s="36"/>
      <c r="AN16" s="36"/>
      <c r="AO16" s="36"/>
      <c r="AP16" s="45" t="s">
        <v>146</v>
      </c>
      <c r="AQ16" s="43">
        <f>AJ16*AG16*(AD16-AC16)</f>
        <v>2804.6048533333328</v>
      </c>
    </row>
    <row r="17" spans="1:43" ht="22.05" customHeight="1" thickBot="1" x14ac:dyDescent="0.45">
      <c r="A17" s="30" t="s">
        <v>86</v>
      </c>
      <c r="B17" s="30" t="s">
        <v>87</v>
      </c>
      <c r="C17" s="30" t="s">
        <v>88</v>
      </c>
      <c r="D17" s="30">
        <f>'[1]Key Control'!F21</f>
        <v>116.43</v>
      </c>
      <c r="G17" s="47" t="s">
        <v>147</v>
      </c>
      <c r="H17" s="47" t="s">
        <v>148</v>
      </c>
      <c r="I17" s="47">
        <v>325</v>
      </c>
      <c r="J17" s="47" t="s">
        <v>121</v>
      </c>
      <c r="P17" s="27"/>
      <c r="R17" s="33" t="s">
        <v>149</v>
      </c>
      <c r="S17" s="34" t="s">
        <v>138</v>
      </c>
      <c r="T17" s="34" t="s">
        <v>139</v>
      </c>
      <c r="U17" s="35" t="s">
        <v>69</v>
      </c>
      <c r="V17" s="35"/>
      <c r="W17" s="35"/>
      <c r="X17" s="35"/>
      <c r="Y17" s="36"/>
      <c r="Z17" s="49" t="s">
        <v>110</v>
      </c>
      <c r="AA17" s="37">
        <v>67.099999999999994</v>
      </c>
      <c r="AB17" s="37"/>
      <c r="AC17" s="38">
        <v>210.06</v>
      </c>
      <c r="AD17" s="38">
        <v>230.5</v>
      </c>
      <c r="AE17" s="39">
        <f>(AC17+AD17)/2</f>
        <v>220.28</v>
      </c>
      <c r="AF17" s="40">
        <f t="shared" si="0"/>
        <v>0.8306</v>
      </c>
      <c r="AG17" s="41">
        <f t="shared" si="1"/>
        <v>2.67</v>
      </c>
      <c r="AH17" s="41">
        <f t="shared" si="2"/>
        <v>673</v>
      </c>
      <c r="AI17" s="37">
        <v>154.5</v>
      </c>
      <c r="AJ17" s="42">
        <f t="shared" si="3"/>
        <v>28.882916666666667</v>
      </c>
      <c r="AK17" s="36"/>
      <c r="AL17" s="36"/>
      <c r="AM17" s="36"/>
      <c r="AN17" s="36"/>
      <c r="AO17" s="36"/>
      <c r="AP17" s="34" t="s">
        <v>150</v>
      </c>
      <c r="AQ17" s="43">
        <f>AJ17*AG17*(AD17-AC17)</f>
        <v>1576.2794004999996</v>
      </c>
    </row>
    <row r="18" spans="1:43" ht="22.05" customHeight="1" x14ac:dyDescent="0.4">
      <c r="A18" s="30" t="s">
        <v>86</v>
      </c>
      <c r="B18" s="30" t="s">
        <v>151</v>
      </c>
      <c r="C18" s="30" t="s">
        <v>95</v>
      </c>
      <c r="D18" s="30">
        <f>'[1]Key Control'!F23</f>
        <v>92.57</v>
      </c>
      <c r="G18" s="16" t="s">
        <v>152</v>
      </c>
      <c r="H18" s="16" t="s">
        <v>153</v>
      </c>
      <c r="I18" s="16">
        <v>235.4</v>
      </c>
      <c r="J18" s="16" t="s">
        <v>121</v>
      </c>
      <c r="L18" s="8" t="s">
        <v>119</v>
      </c>
      <c r="M18" s="8" t="s">
        <v>10</v>
      </c>
      <c r="N18" s="8"/>
      <c r="O18" s="8"/>
      <c r="P18" s="27"/>
      <c r="R18" s="44" t="s">
        <v>154</v>
      </c>
      <c r="S18" s="45" t="s">
        <v>116</v>
      </c>
      <c r="T18" s="45" t="s">
        <v>145</v>
      </c>
      <c r="U18" s="35" t="s">
        <v>69</v>
      </c>
      <c r="V18" s="35"/>
      <c r="W18" s="35"/>
      <c r="X18" s="35"/>
      <c r="Y18" s="36"/>
      <c r="Z18" s="36"/>
      <c r="AA18" s="46">
        <v>188.12</v>
      </c>
      <c r="AB18" s="46"/>
      <c r="AC18" s="38">
        <v>95.3</v>
      </c>
      <c r="AD18" s="38">
        <v>173.38</v>
      </c>
      <c r="AE18" s="39">
        <f>(AC18+AD18)/2</f>
        <v>134.34</v>
      </c>
      <c r="AF18" s="40">
        <f t="shared" si="0"/>
        <v>0.8306</v>
      </c>
      <c r="AG18" s="41">
        <f t="shared" si="1"/>
        <v>2.35</v>
      </c>
      <c r="AH18" s="41">
        <f t="shared" si="2"/>
        <v>740</v>
      </c>
      <c r="AI18" s="46">
        <v>141.19999999999999</v>
      </c>
      <c r="AJ18" s="42">
        <f t="shared" si="3"/>
        <v>29.024444444444441</v>
      </c>
      <c r="AK18" s="36"/>
      <c r="AL18" s="36"/>
      <c r="AM18" s="36"/>
      <c r="AN18" s="36"/>
      <c r="AO18" s="36"/>
      <c r="AP18" s="45" t="s">
        <v>155</v>
      </c>
      <c r="AQ18" s="43">
        <f>AJ18*AG18*(AD18-AC18)</f>
        <v>5325.6372622222216</v>
      </c>
    </row>
    <row r="19" spans="1:43" ht="22.05" customHeight="1" x14ac:dyDescent="0.4">
      <c r="A19" s="30" t="s">
        <v>86</v>
      </c>
      <c r="B19" s="30" t="s">
        <v>142</v>
      </c>
      <c r="C19" s="30" t="s">
        <v>103</v>
      </c>
      <c r="D19" s="30">
        <f>'[1]Key Control'!F30</f>
        <v>468.2</v>
      </c>
      <c r="G19" s="47" t="s">
        <v>156</v>
      </c>
      <c r="H19" s="47" t="s">
        <v>157</v>
      </c>
      <c r="I19" s="47">
        <v>154.5</v>
      </c>
      <c r="J19" s="47" t="s">
        <v>121</v>
      </c>
      <c r="L19" s="17" t="s">
        <v>18</v>
      </c>
      <c r="M19" s="17" t="s">
        <v>19</v>
      </c>
      <c r="N19" s="17" t="s">
        <v>20</v>
      </c>
      <c r="O19" s="17" t="s">
        <v>21</v>
      </c>
      <c r="P19" s="18" t="s">
        <v>7</v>
      </c>
      <c r="R19" s="33" t="s">
        <v>158</v>
      </c>
      <c r="S19" s="34" t="s">
        <v>116</v>
      </c>
      <c r="T19" s="34" t="s">
        <v>129</v>
      </c>
      <c r="U19" s="35" t="s">
        <v>69</v>
      </c>
      <c r="V19" s="35"/>
      <c r="W19" s="35"/>
      <c r="X19" s="35"/>
      <c r="Y19" s="36"/>
      <c r="Z19" s="49" t="s">
        <v>110</v>
      </c>
      <c r="AA19" s="37">
        <v>136.4</v>
      </c>
      <c r="AB19" s="37"/>
      <c r="AC19" s="38">
        <v>173.38</v>
      </c>
      <c r="AD19" s="38">
        <v>183.34</v>
      </c>
      <c r="AE19" s="39">
        <f>(AC19+AD19)/2</f>
        <v>178.36</v>
      </c>
      <c r="AF19" s="40">
        <f t="shared" si="0"/>
        <v>0.8306</v>
      </c>
      <c r="AG19" s="41">
        <f t="shared" si="1"/>
        <v>2.5099999999999998</v>
      </c>
      <c r="AH19" s="41">
        <f t="shared" si="2"/>
        <v>706</v>
      </c>
      <c r="AI19" s="37">
        <v>141.19999999999999</v>
      </c>
      <c r="AJ19" s="42">
        <f t="shared" si="3"/>
        <v>27.690888888888889</v>
      </c>
      <c r="AK19" s="36"/>
      <c r="AL19" s="36"/>
      <c r="AM19" s="36"/>
      <c r="AN19" s="36"/>
      <c r="AO19" s="36"/>
      <c r="AP19" s="34" t="s">
        <v>159</v>
      </c>
      <c r="AQ19" s="43">
        <f>AJ19*AG19*(AD19-AC19)</f>
        <v>692.26114586666722</v>
      </c>
    </row>
    <row r="20" spans="1:43" ht="22.05" customHeight="1" x14ac:dyDescent="0.4">
      <c r="A20" s="30"/>
      <c r="B20" s="30"/>
      <c r="C20" s="30"/>
      <c r="D20" s="30"/>
      <c r="G20" s="16" t="s">
        <v>160</v>
      </c>
      <c r="H20" s="16" t="s">
        <v>161</v>
      </c>
      <c r="I20" s="16">
        <v>141.19999999999999</v>
      </c>
      <c r="J20" s="16" t="s">
        <v>121</v>
      </c>
      <c r="L20" s="24" t="s">
        <v>46</v>
      </c>
      <c r="M20" s="25" t="s">
        <v>162</v>
      </c>
      <c r="N20" s="25" t="s">
        <v>48</v>
      </c>
      <c r="O20" s="26" t="s">
        <v>49</v>
      </c>
      <c r="P20" s="27">
        <f>'[1]Example Crude Property'!D42</f>
        <v>38.9</v>
      </c>
      <c r="R20" s="44" t="s">
        <v>163</v>
      </c>
      <c r="S20" s="45" t="s">
        <v>116</v>
      </c>
      <c r="T20" s="45" t="s">
        <v>145</v>
      </c>
      <c r="U20" s="35" t="s">
        <v>69</v>
      </c>
      <c r="V20" s="35"/>
      <c r="W20" s="35"/>
      <c r="X20" s="35"/>
      <c r="Y20" s="36"/>
      <c r="Z20" s="36"/>
      <c r="AA20" s="46">
        <v>188.12</v>
      </c>
      <c r="AB20" s="46"/>
      <c r="AC20" s="38">
        <v>183.34</v>
      </c>
      <c r="AD20" s="38">
        <v>243</v>
      </c>
      <c r="AE20" s="39">
        <f>(AC20+AD20)/2</f>
        <v>213.17000000000002</v>
      </c>
      <c r="AF20" s="40">
        <f t="shared" si="0"/>
        <v>0.8306</v>
      </c>
      <c r="AG20" s="41">
        <f t="shared" si="1"/>
        <v>2.64</v>
      </c>
      <c r="AH20" s="41">
        <f t="shared" si="2"/>
        <v>679</v>
      </c>
      <c r="AI20" s="46">
        <v>141.19999999999999</v>
      </c>
      <c r="AJ20" s="42">
        <f t="shared" si="3"/>
        <v>26.631888888888884</v>
      </c>
      <c r="AK20" s="36"/>
      <c r="AL20" s="36"/>
      <c r="AM20" s="36"/>
      <c r="AN20" s="36"/>
      <c r="AO20" s="36"/>
      <c r="AP20" s="45" t="s">
        <v>164</v>
      </c>
      <c r="AQ20" s="43">
        <f>AJ20*AG20*(AD20-AC20)</f>
        <v>4194.5864165333323</v>
      </c>
    </row>
    <row r="21" spans="1:43" ht="22.05" customHeight="1" x14ac:dyDescent="0.4">
      <c r="A21" s="14" t="s">
        <v>165</v>
      </c>
      <c r="B21" s="14" t="s">
        <v>10</v>
      </c>
      <c r="C21" s="14"/>
      <c r="D21" s="14"/>
      <c r="E21" s="15"/>
      <c r="G21" s="47" t="s">
        <v>166</v>
      </c>
      <c r="H21" s="47" t="s">
        <v>167</v>
      </c>
      <c r="I21" s="47">
        <v>155.6</v>
      </c>
      <c r="J21" s="47" t="s">
        <v>121</v>
      </c>
      <c r="L21" s="31"/>
      <c r="M21" s="31"/>
      <c r="N21" s="31" t="s">
        <v>65</v>
      </c>
      <c r="O21" s="32" t="s">
        <v>49</v>
      </c>
      <c r="P21" s="27">
        <f>'[1]Example Crude Property'!D54</f>
        <v>0.8306</v>
      </c>
      <c r="R21" s="33" t="s">
        <v>168</v>
      </c>
      <c r="S21" s="34" t="s">
        <v>169</v>
      </c>
      <c r="T21" s="34" t="s">
        <v>145</v>
      </c>
      <c r="U21" s="35" t="s">
        <v>69</v>
      </c>
      <c r="V21" s="35"/>
      <c r="W21" s="35"/>
      <c r="X21" s="35"/>
      <c r="Y21" s="36"/>
      <c r="Z21" s="36"/>
      <c r="AA21" s="37">
        <v>188.12</v>
      </c>
      <c r="AB21" s="37"/>
      <c r="AC21" s="38">
        <v>239.22</v>
      </c>
      <c r="AD21" s="38">
        <v>258.05</v>
      </c>
      <c r="AE21" s="39">
        <f>(AC21+AD21)/2</f>
        <v>248.63499999999999</v>
      </c>
      <c r="AF21" s="40">
        <f t="shared" si="0"/>
        <v>0.8306</v>
      </c>
      <c r="AG21" s="41">
        <f t="shared" si="1"/>
        <v>2.77</v>
      </c>
      <c r="AH21" s="41">
        <f t="shared" si="2"/>
        <v>651</v>
      </c>
      <c r="AI21" s="37">
        <v>531.1</v>
      </c>
      <c r="AJ21" s="42">
        <f t="shared" si="3"/>
        <v>96.040583333333345</v>
      </c>
      <c r="AK21" s="36"/>
      <c r="AL21" s="36"/>
      <c r="AM21" s="36"/>
      <c r="AN21" s="36"/>
      <c r="AO21" s="36"/>
      <c r="AP21" s="34" t="s">
        <v>170</v>
      </c>
      <c r="AQ21" s="43">
        <f>AJ21*AG21*(AD21-AC21)</f>
        <v>5009.3903901416707</v>
      </c>
    </row>
    <row r="22" spans="1:43" ht="19.95" customHeight="1" x14ac:dyDescent="0.4">
      <c r="A22" s="22" t="s">
        <v>18</v>
      </c>
      <c r="B22" s="22" t="s">
        <v>42</v>
      </c>
      <c r="C22" s="22" t="s">
        <v>43</v>
      </c>
      <c r="D22" s="22" t="s">
        <v>7</v>
      </c>
      <c r="G22" s="16" t="s">
        <v>171</v>
      </c>
      <c r="H22" s="16" t="s">
        <v>172</v>
      </c>
      <c r="I22" s="16">
        <v>169.8</v>
      </c>
      <c r="J22" s="16" t="s">
        <v>121</v>
      </c>
      <c r="L22" s="31"/>
      <c r="M22" s="31"/>
      <c r="N22" s="31" t="s">
        <v>76</v>
      </c>
      <c r="O22" s="32" t="s">
        <v>49</v>
      </c>
      <c r="P22" s="27">
        <f>'[1]Example Crude Property'!D51</f>
        <v>3.11</v>
      </c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</row>
    <row r="23" spans="1:43" ht="22.05" customHeight="1" x14ac:dyDescent="0.4">
      <c r="A23" s="30" t="s">
        <v>59</v>
      </c>
      <c r="B23" s="30" t="s">
        <v>131</v>
      </c>
      <c r="C23" s="30" t="s">
        <v>61</v>
      </c>
      <c r="D23" s="30">
        <f>'[1]Key Control'!F15</f>
        <v>188.7</v>
      </c>
      <c r="G23" s="47" t="s">
        <v>173</v>
      </c>
      <c r="H23" s="47" t="s">
        <v>174</v>
      </c>
      <c r="I23" s="47">
        <v>6.66</v>
      </c>
      <c r="J23" s="47" t="s">
        <v>75</v>
      </c>
      <c r="L23" s="31"/>
      <c r="M23" s="31"/>
      <c r="N23" s="31" t="s">
        <v>83</v>
      </c>
      <c r="O23" s="32" t="s">
        <v>49</v>
      </c>
      <c r="P23" s="27">
        <f>'[1]Example Crude Property'!D52</f>
        <v>1.39</v>
      </c>
    </row>
    <row r="24" spans="1:43" ht="22.05" customHeight="1" x14ac:dyDescent="0.4">
      <c r="A24" s="30" t="s">
        <v>59</v>
      </c>
      <c r="B24" s="30" t="s">
        <v>71</v>
      </c>
      <c r="C24" s="30" t="s">
        <v>72</v>
      </c>
      <c r="D24" s="30">
        <v>37.44</v>
      </c>
      <c r="G24" s="16" t="s">
        <v>175</v>
      </c>
      <c r="H24" s="16" t="s">
        <v>176</v>
      </c>
      <c r="I24" s="16">
        <v>109</v>
      </c>
      <c r="J24" s="16" t="s">
        <v>75</v>
      </c>
      <c r="L24" s="31"/>
      <c r="M24" s="31"/>
      <c r="N24" s="31" t="s">
        <v>91</v>
      </c>
      <c r="O24" s="32" t="s">
        <v>49</v>
      </c>
      <c r="P24" s="27">
        <f>'[1]Example Crude Property'!D55</f>
        <v>7.7799999999999994E-2</v>
      </c>
    </row>
    <row r="25" spans="1:43" ht="22.05" customHeight="1" x14ac:dyDescent="0.4">
      <c r="A25" s="30" t="s">
        <v>59</v>
      </c>
      <c r="B25" s="30" t="s">
        <v>177</v>
      </c>
      <c r="C25" s="30" t="s">
        <v>80</v>
      </c>
      <c r="D25" s="30">
        <f>'[1]Key Control'!F17</f>
        <v>83.81</v>
      </c>
      <c r="G25" s="47" t="s">
        <v>178</v>
      </c>
      <c r="H25" s="47" t="s">
        <v>179</v>
      </c>
      <c r="I25" s="47">
        <v>-133.32</v>
      </c>
      <c r="J25" s="47" t="s">
        <v>121</v>
      </c>
      <c r="L25" s="31"/>
      <c r="M25" s="31"/>
      <c r="N25" s="31" t="s">
        <v>98</v>
      </c>
      <c r="O25" s="48" t="s">
        <v>99</v>
      </c>
      <c r="P25" s="27">
        <f>'[1]Example Crude Property'!D75</f>
        <v>0.13300000000000001</v>
      </c>
    </row>
    <row r="26" spans="1:43" ht="22.05" customHeight="1" x14ac:dyDescent="0.4">
      <c r="A26" s="30" t="s">
        <v>86</v>
      </c>
      <c r="B26" s="30" t="s">
        <v>87</v>
      </c>
      <c r="C26" s="30" t="s">
        <v>88</v>
      </c>
      <c r="D26" s="30">
        <f>'[1]Key Control'!F21</f>
        <v>116.43</v>
      </c>
      <c r="G26" s="16" t="s">
        <v>180</v>
      </c>
      <c r="H26" s="16" t="s">
        <v>181</v>
      </c>
      <c r="I26" s="16">
        <v>-106.01</v>
      </c>
      <c r="J26" s="16" t="s">
        <v>121</v>
      </c>
      <c r="L26" s="31"/>
      <c r="M26" s="31"/>
      <c r="N26" s="31" t="s">
        <v>106</v>
      </c>
      <c r="O26" s="48" t="s">
        <v>99</v>
      </c>
      <c r="P26" s="27">
        <f>'[1]Example Crude Property'!D47</f>
        <v>0.82699999999999996</v>
      </c>
    </row>
    <row r="27" spans="1:43" ht="22.05" customHeight="1" x14ac:dyDescent="0.4">
      <c r="A27" s="30" t="s">
        <v>86</v>
      </c>
      <c r="B27" s="30" t="s">
        <v>182</v>
      </c>
      <c r="C27" s="30" t="s">
        <v>95</v>
      </c>
      <c r="D27" s="30">
        <f>'[1]Key Control'!F24</f>
        <v>88.67</v>
      </c>
      <c r="G27" s="47" t="s">
        <v>183</v>
      </c>
      <c r="H27" s="47" t="s">
        <v>184</v>
      </c>
      <c r="I27" s="47">
        <v>-6.9</v>
      </c>
      <c r="J27" s="47" t="s">
        <v>185</v>
      </c>
      <c r="L27" s="31"/>
      <c r="M27" s="31"/>
      <c r="N27" s="31" t="s">
        <v>114</v>
      </c>
      <c r="O27" s="48" t="s">
        <v>99</v>
      </c>
      <c r="P27" s="50"/>
    </row>
    <row r="28" spans="1:43" ht="22.05" customHeight="1" x14ac:dyDescent="0.4">
      <c r="A28" s="30" t="s">
        <v>86</v>
      </c>
      <c r="B28" s="30" t="s">
        <v>147</v>
      </c>
      <c r="C28" s="30" t="s">
        <v>103</v>
      </c>
      <c r="D28" s="30">
        <f>'[1]Key Control'!F31</f>
        <v>325</v>
      </c>
      <c r="G28" s="16" t="s">
        <v>186</v>
      </c>
      <c r="H28" s="16" t="s">
        <v>187</v>
      </c>
      <c r="I28" s="16">
        <v>1.8220000000000001</v>
      </c>
      <c r="J28" s="16" t="s">
        <v>188</v>
      </c>
      <c r="L28" s="52" t="s">
        <v>86</v>
      </c>
      <c r="M28" s="53" t="s">
        <v>189</v>
      </c>
      <c r="N28" s="53" t="s">
        <v>48</v>
      </c>
      <c r="O28" s="54" t="s">
        <v>49</v>
      </c>
      <c r="P28" s="27">
        <f>'[1]Example Crude Property'!D271</f>
        <v>51.2</v>
      </c>
    </row>
    <row r="29" spans="1:43" ht="22.05" customHeight="1" x14ac:dyDescent="0.4">
      <c r="A29" s="30"/>
      <c r="B29" s="30"/>
      <c r="C29" s="30"/>
      <c r="D29" s="30"/>
      <c r="G29" s="47" t="s">
        <v>190</v>
      </c>
      <c r="H29" s="47" t="s">
        <v>191</v>
      </c>
      <c r="I29" s="47">
        <v>-3.02</v>
      </c>
      <c r="J29" s="47" t="s">
        <v>192</v>
      </c>
      <c r="L29" s="53"/>
      <c r="M29" s="53"/>
      <c r="N29" s="53" t="s">
        <v>65</v>
      </c>
      <c r="O29" s="54" t="s">
        <v>49</v>
      </c>
      <c r="P29" s="27">
        <f>'[1]Example Crude Property'!D289</f>
        <v>0.77459999999999996</v>
      </c>
    </row>
    <row r="30" spans="1:43" ht="22.05" customHeight="1" x14ac:dyDescent="0.4">
      <c r="A30" s="61" t="s">
        <v>193</v>
      </c>
      <c r="B30" s="61" t="s">
        <v>10</v>
      </c>
      <c r="C30" s="61"/>
      <c r="D30" s="61"/>
      <c r="E30" s="62"/>
      <c r="G30" s="16" t="s">
        <v>194</v>
      </c>
      <c r="H30" s="16" t="s">
        <v>195</v>
      </c>
      <c r="I30" s="16">
        <v>28.1</v>
      </c>
      <c r="J30" s="16" t="s">
        <v>192</v>
      </c>
      <c r="L30" s="53"/>
      <c r="M30" s="53"/>
      <c r="N30" s="53" t="s">
        <v>76</v>
      </c>
      <c r="O30" s="54" t="s">
        <v>49</v>
      </c>
      <c r="P30" s="27">
        <f>'[1]Example Crude Property'!D286</f>
        <v>0.58599999999999997</v>
      </c>
    </row>
    <row r="31" spans="1:43" ht="22.05" customHeight="1" x14ac:dyDescent="0.4">
      <c r="A31" s="22" t="s">
        <v>18</v>
      </c>
      <c r="B31" s="22" t="s">
        <v>42</v>
      </c>
      <c r="C31" s="22" t="s">
        <v>43</v>
      </c>
      <c r="D31" s="22" t="s">
        <v>7</v>
      </c>
      <c r="E31" s="63" t="s">
        <v>196</v>
      </c>
      <c r="G31" s="47" t="s">
        <v>197</v>
      </c>
      <c r="H31" s="47" t="s">
        <v>198</v>
      </c>
      <c r="I31" s="47">
        <v>18.170000000000002</v>
      </c>
      <c r="J31" s="47" t="s">
        <v>188</v>
      </c>
      <c r="L31" s="53"/>
      <c r="M31" s="53"/>
      <c r="N31" s="53" t="s">
        <v>83</v>
      </c>
      <c r="O31" s="54" t="s">
        <v>49</v>
      </c>
      <c r="P31" s="27">
        <f>'[1]Example Crude Property'!D287</f>
        <v>0.41399999999999998</v>
      </c>
    </row>
    <row r="32" spans="1:43" ht="22.05" customHeight="1" x14ac:dyDescent="0.4">
      <c r="A32" s="64" t="s">
        <v>59</v>
      </c>
      <c r="B32" s="64" t="s">
        <v>178</v>
      </c>
      <c r="C32" s="64" t="s">
        <v>61</v>
      </c>
      <c r="D32" s="64">
        <f>'[1]Key Control'!F18</f>
        <v>-133.32</v>
      </c>
      <c r="E32" s="63" t="s">
        <v>196</v>
      </c>
      <c r="G32" s="16" t="s">
        <v>199</v>
      </c>
      <c r="H32" s="16" t="s">
        <v>200</v>
      </c>
      <c r="I32" s="16">
        <v>0.71399999999999997</v>
      </c>
      <c r="J32" s="16" t="s">
        <v>188</v>
      </c>
      <c r="L32" s="58"/>
      <c r="M32" s="58"/>
      <c r="N32" s="58" t="s">
        <v>91</v>
      </c>
      <c r="O32" s="59" t="s">
        <v>49</v>
      </c>
      <c r="P32" s="27">
        <f>'[1]Example Crude Property'!D290</f>
        <v>2.2599999999999999E-3</v>
      </c>
    </row>
    <row r="33" spans="1:16" ht="22.05" customHeight="1" thickBot="1" x14ac:dyDescent="0.45">
      <c r="A33" s="64" t="s">
        <v>59</v>
      </c>
      <c r="B33" s="64" t="s">
        <v>71</v>
      </c>
      <c r="C33" s="64" t="s">
        <v>72</v>
      </c>
      <c r="D33" s="64">
        <v>37.44</v>
      </c>
      <c r="E33" s="63" t="s">
        <v>196</v>
      </c>
      <c r="G33" s="47" t="s">
        <v>201</v>
      </c>
      <c r="H33" s="47" t="s">
        <v>202</v>
      </c>
      <c r="I33" s="47">
        <v>7.63</v>
      </c>
      <c r="J33" s="47" t="s">
        <v>188</v>
      </c>
      <c r="P33" s="27"/>
    </row>
    <row r="34" spans="1:16" ht="22.05" customHeight="1" x14ac:dyDescent="0.4">
      <c r="A34" s="64" t="s">
        <v>59</v>
      </c>
      <c r="B34" s="64" t="s">
        <v>203</v>
      </c>
      <c r="C34" s="64" t="s">
        <v>80</v>
      </c>
      <c r="D34" s="64">
        <f>'[1]Key Control'!F20</f>
        <v>36.020000000000003</v>
      </c>
      <c r="E34" s="63" t="s">
        <v>196</v>
      </c>
      <c r="G34" s="16" t="s">
        <v>204</v>
      </c>
      <c r="H34" s="16" t="s">
        <v>205</v>
      </c>
      <c r="I34" s="16">
        <v>6.14</v>
      </c>
      <c r="J34" s="16" t="s">
        <v>188</v>
      </c>
      <c r="L34" s="8" t="s">
        <v>165</v>
      </c>
      <c r="M34" s="8" t="s">
        <v>10</v>
      </c>
      <c r="N34" s="8"/>
      <c r="O34" s="8"/>
      <c r="P34" s="27"/>
    </row>
    <row r="35" spans="1:16" ht="19.95" customHeight="1" x14ac:dyDescent="0.4">
      <c r="A35" s="64" t="s">
        <v>86</v>
      </c>
      <c r="B35" s="64" t="s">
        <v>87</v>
      </c>
      <c r="C35" s="64" t="s">
        <v>88</v>
      </c>
      <c r="D35" s="64">
        <f>'[1]Key Control'!F21</f>
        <v>116.43</v>
      </c>
      <c r="E35" s="63" t="s">
        <v>196</v>
      </c>
      <c r="G35" s="47" t="s">
        <v>206</v>
      </c>
      <c r="H35" s="47" t="s">
        <v>207</v>
      </c>
      <c r="I35" s="47">
        <v>340.1</v>
      </c>
      <c r="J35" s="47" t="s">
        <v>54</v>
      </c>
      <c r="L35" s="17" t="s">
        <v>18</v>
      </c>
      <c r="M35" s="17" t="s">
        <v>19</v>
      </c>
      <c r="N35" s="17" t="s">
        <v>20</v>
      </c>
      <c r="O35" s="17" t="s">
        <v>21</v>
      </c>
      <c r="P35" s="18" t="s">
        <v>7</v>
      </c>
    </row>
    <row r="36" spans="1:16" ht="16.05" customHeight="1" x14ac:dyDescent="0.4">
      <c r="A36" s="64" t="s">
        <v>86</v>
      </c>
      <c r="B36" s="64" t="s">
        <v>183</v>
      </c>
      <c r="C36" s="64" t="s">
        <v>208</v>
      </c>
      <c r="D36" s="64">
        <f>'[1]Key Control'!F28</f>
        <v>-6.9</v>
      </c>
      <c r="E36" s="63" t="s">
        <v>196</v>
      </c>
      <c r="G36" s="16" t="s">
        <v>203</v>
      </c>
      <c r="H36" s="16" t="s">
        <v>209</v>
      </c>
      <c r="I36" s="16">
        <v>36.020000000000003</v>
      </c>
      <c r="J36" s="16" t="s">
        <v>54</v>
      </c>
      <c r="L36" s="24" t="s">
        <v>46</v>
      </c>
      <c r="M36" s="25" t="s">
        <v>210</v>
      </c>
      <c r="N36" s="25" t="s">
        <v>48</v>
      </c>
      <c r="O36" s="26" t="s">
        <v>49</v>
      </c>
      <c r="P36" s="27">
        <f>'[1]Example Crude Property'!D42</f>
        <v>38.9</v>
      </c>
    </row>
    <row r="37" spans="1:16" ht="16.05" customHeight="1" x14ac:dyDescent="0.4">
      <c r="A37" s="64" t="s">
        <v>86</v>
      </c>
      <c r="B37" s="64" t="s">
        <v>180</v>
      </c>
      <c r="C37" s="64" t="s">
        <v>103</v>
      </c>
      <c r="D37" s="64">
        <f>'[1]Key Control'!F32</f>
        <v>-106.01</v>
      </c>
      <c r="E37" s="63" t="s">
        <v>196</v>
      </c>
      <c r="G37" s="47" t="s">
        <v>211</v>
      </c>
      <c r="H37" s="47" t="s">
        <v>212</v>
      </c>
      <c r="I37" s="47">
        <v>6806</v>
      </c>
      <c r="J37" s="47"/>
      <c r="L37" s="31"/>
      <c r="M37" s="31"/>
      <c r="N37" s="31" t="s">
        <v>65</v>
      </c>
      <c r="O37" s="32" t="s">
        <v>49</v>
      </c>
      <c r="P37" s="27">
        <f>'[1]Example Crude Property'!D54</f>
        <v>0.8306</v>
      </c>
    </row>
    <row r="38" spans="1:16" ht="16.05" customHeight="1" x14ac:dyDescent="0.4">
      <c r="A38" s="30"/>
      <c r="B38" s="30"/>
      <c r="C38" s="30"/>
      <c r="D38" s="30"/>
      <c r="G38" s="16" t="s">
        <v>79</v>
      </c>
      <c r="H38" s="16" t="s">
        <v>213</v>
      </c>
      <c r="I38" s="16">
        <v>94.38</v>
      </c>
      <c r="J38" s="16" t="s">
        <v>54</v>
      </c>
      <c r="L38" s="31"/>
      <c r="M38" s="31"/>
      <c r="N38" s="31" t="s">
        <v>76</v>
      </c>
      <c r="O38" s="32" t="s">
        <v>49</v>
      </c>
      <c r="P38" s="27">
        <f>'[1]Example Crude Property'!D51</f>
        <v>3.11</v>
      </c>
    </row>
    <row r="39" spans="1:16" ht="16.05" customHeight="1" x14ac:dyDescent="0.4">
      <c r="A39" s="14" t="s">
        <v>214</v>
      </c>
      <c r="B39" s="14" t="s">
        <v>10</v>
      </c>
      <c r="C39" s="14"/>
      <c r="D39" s="14"/>
      <c r="E39" s="15"/>
      <c r="G39" s="47" t="s">
        <v>71</v>
      </c>
      <c r="H39" s="47" t="s">
        <v>215</v>
      </c>
      <c r="I39" s="47">
        <v>37.44</v>
      </c>
      <c r="J39" s="47" t="s">
        <v>216</v>
      </c>
      <c r="L39" s="31"/>
      <c r="M39" s="31"/>
      <c r="N39" s="31" t="s">
        <v>83</v>
      </c>
      <c r="O39" s="32" t="s">
        <v>49</v>
      </c>
      <c r="P39" s="27">
        <f>'[1]Example Crude Property'!D52</f>
        <v>1.39</v>
      </c>
    </row>
    <row r="40" spans="1:16" ht="16.05" customHeight="1" x14ac:dyDescent="0.4">
      <c r="A40" s="22" t="s">
        <v>18</v>
      </c>
      <c r="B40" s="22" t="s">
        <v>42</v>
      </c>
      <c r="C40" s="22" t="s">
        <v>43</v>
      </c>
      <c r="D40" s="22" t="s">
        <v>7</v>
      </c>
      <c r="G40" s="16" t="s">
        <v>94</v>
      </c>
      <c r="H40" s="16" t="s">
        <v>217</v>
      </c>
      <c r="I40" s="16">
        <v>91.64</v>
      </c>
      <c r="J40" s="16" t="s">
        <v>54</v>
      </c>
      <c r="L40" s="31"/>
      <c r="M40" s="31"/>
      <c r="N40" s="31" t="s">
        <v>91</v>
      </c>
      <c r="O40" s="32" t="s">
        <v>49</v>
      </c>
      <c r="P40" s="27">
        <f>'[1]Example Crude Property'!D55</f>
        <v>7.7799999999999994E-2</v>
      </c>
    </row>
    <row r="41" spans="1:16" ht="16.05" customHeight="1" x14ac:dyDescent="0.4">
      <c r="A41" s="30" t="s">
        <v>59</v>
      </c>
      <c r="B41" s="30" t="s">
        <v>218</v>
      </c>
      <c r="C41" s="30" t="s">
        <v>219</v>
      </c>
      <c r="D41" s="30">
        <f>'[1]Key Control'!F33</f>
        <v>91.58</v>
      </c>
      <c r="G41" s="47" t="s">
        <v>141</v>
      </c>
      <c r="H41" s="47" t="s">
        <v>220</v>
      </c>
      <c r="I41" s="47">
        <v>97.06</v>
      </c>
      <c r="J41" s="47" t="s">
        <v>54</v>
      </c>
      <c r="L41" s="31"/>
      <c r="M41" s="31"/>
      <c r="N41" s="31" t="s">
        <v>98</v>
      </c>
      <c r="O41" s="48" t="s">
        <v>99</v>
      </c>
      <c r="P41" s="27">
        <f>'[1]Example Crude Property'!D75</f>
        <v>0.13300000000000001</v>
      </c>
    </row>
    <row r="42" spans="1:16" ht="16.05" customHeight="1" x14ac:dyDescent="0.4">
      <c r="A42" s="30" t="s">
        <v>59</v>
      </c>
      <c r="B42" s="30" t="s">
        <v>221</v>
      </c>
      <c r="C42" s="30" t="s">
        <v>80</v>
      </c>
      <c r="D42" s="30">
        <f>'[1]Key Control'!F34</f>
        <v>99.69</v>
      </c>
      <c r="G42" s="16" t="s">
        <v>151</v>
      </c>
      <c r="H42" s="16" t="s">
        <v>222</v>
      </c>
      <c r="I42" s="16">
        <v>92.57</v>
      </c>
      <c r="J42" s="16" t="s">
        <v>54</v>
      </c>
      <c r="L42" s="31"/>
      <c r="M42" s="31"/>
      <c r="N42" s="31" t="s">
        <v>106</v>
      </c>
      <c r="O42" s="48" t="s">
        <v>99</v>
      </c>
      <c r="P42" s="27">
        <f>'[1]Example Crude Property'!D47</f>
        <v>0.82699999999999996</v>
      </c>
    </row>
    <row r="43" spans="1:16" ht="16.05" customHeight="1" x14ac:dyDescent="0.4">
      <c r="A43" s="30" t="s">
        <v>59</v>
      </c>
      <c r="B43" s="65" t="s">
        <v>223</v>
      </c>
      <c r="C43" s="30" t="s">
        <v>224</v>
      </c>
      <c r="D43" s="65">
        <f>D5+D14+D23</f>
        <v>540</v>
      </c>
      <c r="G43" s="47" t="s">
        <v>221</v>
      </c>
      <c r="H43" s="47" t="s">
        <v>225</v>
      </c>
      <c r="I43" s="47">
        <v>99.69</v>
      </c>
      <c r="J43" s="47" t="s">
        <v>54</v>
      </c>
      <c r="L43" s="31"/>
      <c r="M43" s="31"/>
      <c r="N43" s="31" t="s">
        <v>114</v>
      </c>
      <c r="O43" s="48" t="s">
        <v>99</v>
      </c>
      <c r="P43" s="50"/>
    </row>
    <row r="44" spans="1:16" ht="16.05" customHeight="1" x14ac:dyDescent="0.4">
      <c r="A44" s="30" t="s">
        <v>226</v>
      </c>
      <c r="B44" s="66" t="s">
        <v>227</v>
      </c>
      <c r="C44" s="30" t="s">
        <v>228</v>
      </c>
      <c r="D44" s="30">
        <v>144.56</v>
      </c>
      <c r="G44" s="16" t="s">
        <v>218</v>
      </c>
      <c r="H44" s="16" t="s">
        <v>229</v>
      </c>
      <c r="I44" s="16">
        <v>91.58</v>
      </c>
      <c r="J44" s="16" t="s">
        <v>54</v>
      </c>
      <c r="L44" s="52" t="s">
        <v>86</v>
      </c>
      <c r="M44" s="53" t="s">
        <v>230</v>
      </c>
      <c r="N44" s="53" t="s">
        <v>48</v>
      </c>
      <c r="O44" s="54" t="s">
        <v>49</v>
      </c>
      <c r="P44" s="27">
        <f>'[1]Example Crude Property'!D271</f>
        <v>51.2</v>
      </c>
    </row>
    <row r="45" spans="1:16" ht="16.05" customHeight="1" x14ac:dyDescent="0.4">
      <c r="A45" s="30" t="s">
        <v>226</v>
      </c>
      <c r="B45" s="66" t="s">
        <v>231</v>
      </c>
      <c r="C45" s="30" t="s">
        <v>232</v>
      </c>
      <c r="D45" s="30">
        <v>103.11</v>
      </c>
      <c r="G45" s="47" t="s">
        <v>231</v>
      </c>
      <c r="H45" s="47" t="s">
        <v>233</v>
      </c>
      <c r="I45" s="47">
        <v>103.11</v>
      </c>
      <c r="J45" s="47" t="s">
        <v>54</v>
      </c>
      <c r="L45" s="53"/>
      <c r="M45" s="53"/>
      <c r="N45" s="53" t="s">
        <v>65</v>
      </c>
      <c r="O45" s="54" t="s">
        <v>49</v>
      </c>
      <c r="P45" s="27">
        <f>'[1]Example Crude Property'!D289</f>
        <v>0.77459999999999996</v>
      </c>
    </row>
    <row r="46" spans="1:16" ht="16.05" customHeight="1" x14ac:dyDescent="0.4">
      <c r="A46" s="30" t="s">
        <v>226</v>
      </c>
      <c r="B46" s="66" t="s">
        <v>234</v>
      </c>
      <c r="C46" s="30" t="s">
        <v>235</v>
      </c>
      <c r="D46" s="30">
        <f>64+45</f>
        <v>109</v>
      </c>
      <c r="G46" s="16" t="s">
        <v>177</v>
      </c>
      <c r="H46" s="16" t="s">
        <v>236</v>
      </c>
      <c r="I46" s="16">
        <v>83.81</v>
      </c>
      <c r="J46" s="16" t="s">
        <v>54</v>
      </c>
      <c r="L46" s="53"/>
      <c r="M46" s="53"/>
      <c r="N46" s="53" t="s">
        <v>76</v>
      </c>
      <c r="O46" s="54" t="s">
        <v>49</v>
      </c>
      <c r="P46" s="27">
        <f>'[1]Example Crude Property'!D286</f>
        <v>0.58599999999999997</v>
      </c>
    </row>
    <row r="47" spans="1:16" ht="16.05" customHeight="1" x14ac:dyDescent="0.4">
      <c r="A47" s="30"/>
      <c r="B47" s="30"/>
      <c r="C47" s="30"/>
      <c r="D47" s="30"/>
      <c r="G47" s="47" t="s">
        <v>182</v>
      </c>
      <c r="H47" s="47" t="s">
        <v>237</v>
      </c>
      <c r="I47" s="47">
        <v>88.67</v>
      </c>
      <c r="J47" s="47" t="s">
        <v>54</v>
      </c>
      <c r="L47" s="53"/>
      <c r="M47" s="53"/>
      <c r="N47" s="53" t="s">
        <v>83</v>
      </c>
      <c r="O47" s="54" t="s">
        <v>49</v>
      </c>
      <c r="P47" s="27">
        <f>'[1]Example Crude Property'!D287</f>
        <v>0.41399999999999998</v>
      </c>
    </row>
    <row r="48" spans="1:16" ht="16.05" customHeight="1" x14ac:dyDescent="0.4">
      <c r="A48" s="14" t="s">
        <v>238</v>
      </c>
      <c r="B48" s="14" t="s">
        <v>239</v>
      </c>
      <c r="C48" s="14"/>
      <c r="D48" s="14"/>
      <c r="E48" s="15"/>
      <c r="G48" s="16" t="s">
        <v>240</v>
      </c>
      <c r="H48" s="16" t="s">
        <v>241</v>
      </c>
      <c r="I48" s="16">
        <v>181.45</v>
      </c>
      <c r="J48" s="16" t="s">
        <v>54</v>
      </c>
      <c r="L48" s="58"/>
      <c r="M48" s="58"/>
      <c r="N48" s="58" t="s">
        <v>91</v>
      </c>
      <c r="O48" s="59" t="s">
        <v>49</v>
      </c>
      <c r="P48" s="27">
        <f>'[1]Example Crude Property'!D290</f>
        <v>2.2599999999999999E-3</v>
      </c>
    </row>
    <row r="49" spans="1:16" ht="17.399999999999999" thickBot="1" x14ac:dyDescent="0.45">
      <c r="A49" s="22" t="s">
        <v>18</v>
      </c>
      <c r="B49" s="22" t="s">
        <v>42</v>
      </c>
      <c r="C49" s="22" t="s">
        <v>43</v>
      </c>
      <c r="D49" s="22" t="s">
        <v>7</v>
      </c>
      <c r="G49" s="47" t="s">
        <v>242</v>
      </c>
      <c r="H49" s="47" t="s">
        <v>243</v>
      </c>
      <c r="I49" s="47">
        <v>196.46</v>
      </c>
      <c r="J49" s="47" t="s">
        <v>54</v>
      </c>
      <c r="P49" s="27"/>
    </row>
    <row r="50" spans="1:16" ht="19.95" customHeight="1" x14ac:dyDescent="0.4">
      <c r="A50" s="30" t="s">
        <v>46</v>
      </c>
      <c r="B50" s="30" t="s">
        <v>152</v>
      </c>
      <c r="C50" s="30" t="s">
        <v>244</v>
      </c>
      <c r="D50" s="30">
        <f>'[1]Key Control'!F62</f>
        <v>235.4</v>
      </c>
      <c r="G50" s="16" t="s">
        <v>245</v>
      </c>
      <c r="H50" s="16" t="s">
        <v>246</v>
      </c>
      <c r="I50" s="16">
        <v>241.93</v>
      </c>
      <c r="J50" s="16" t="s">
        <v>54</v>
      </c>
      <c r="L50" s="67" t="s">
        <v>247</v>
      </c>
      <c r="M50" s="67" t="s">
        <v>248</v>
      </c>
      <c r="N50" s="67"/>
      <c r="O50" s="67"/>
      <c r="P50" s="27"/>
    </row>
    <row r="51" spans="1:16" ht="18" customHeight="1" x14ac:dyDescent="0.4">
      <c r="A51" s="30" t="s">
        <v>46</v>
      </c>
      <c r="B51" s="30" t="s">
        <v>249</v>
      </c>
      <c r="C51" s="30" t="s">
        <v>250</v>
      </c>
      <c r="D51" s="30">
        <v>95.3</v>
      </c>
      <c r="G51" s="47" t="s">
        <v>251</v>
      </c>
      <c r="H51" s="47" t="s">
        <v>252</v>
      </c>
      <c r="I51" s="47">
        <v>239.22</v>
      </c>
      <c r="J51" s="47" t="s">
        <v>54</v>
      </c>
      <c r="L51" s="17" t="s">
        <v>18</v>
      </c>
      <c r="M51" s="17" t="s">
        <v>19</v>
      </c>
      <c r="N51" s="17" t="s">
        <v>20</v>
      </c>
      <c r="O51" s="17" t="s">
        <v>21</v>
      </c>
      <c r="P51" s="18" t="s">
        <v>7</v>
      </c>
    </row>
    <row r="52" spans="1:16" ht="16.05" customHeight="1" x14ac:dyDescent="0.4">
      <c r="A52" s="30" t="s">
        <v>46</v>
      </c>
      <c r="B52" s="30" t="s">
        <v>253</v>
      </c>
      <c r="C52" s="30" t="s">
        <v>254</v>
      </c>
      <c r="D52" s="30">
        <v>128.53</v>
      </c>
      <c r="G52" s="16" t="s">
        <v>255</v>
      </c>
      <c r="H52" s="16" t="s">
        <v>256</v>
      </c>
      <c r="I52" s="16">
        <v>258.05</v>
      </c>
      <c r="J52" s="16" t="s">
        <v>54</v>
      </c>
      <c r="L52" s="68" t="s">
        <v>257</v>
      </c>
      <c r="M52" s="69" t="s">
        <v>258</v>
      </c>
      <c r="N52" s="69" t="s">
        <v>48</v>
      </c>
      <c r="O52" s="70" t="s">
        <v>259</v>
      </c>
      <c r="P52" s="50" t="s">
        <v>260</v>
      </c>
    </row>
    <row r="53" spans="1:16" ht="16.05" customHeight="1" x14ac:dyDescent="0.4">
      <c r="A53" s="30" t="s">
        <v>261</v>
      </c>
      <c r="B53" s="30" t="s">
        <v>262</v>
      </c>
      <c r="C53" s="30" t="s">
        <v>263</v>
      </c>
      <c r="D53" s="30">
        <f>'[1]Key Control'!F92</f>
        <v>156.93</v>
      </c>
      <c r="G53" s="47" t="s">
        <v>264</v>
      </c>
      <c r="H53" s="47" t="s">
        <v>265</v>
      </c>
      <c r="I53" s="47">
        <v>280.13</v>
      </c>
      <c r="J53" s="47" t="s">
        <v>54</v>
      </c>
      <c r="L53" s="71"/>
      <c r="M53" s="71"/>
      <c r="N53" s="71" t="s">
        <v>65</v>
      </c>
      <c r="O53" s="72" t="s">
        <v>259</v>
      </c>
      <c r="P53" s="50" t="s">
        <v>260</v>
      </c>
    </row>
    <row r="54" spans="1:16" ht="16.05" customHeight="1" x14ac:dyDescent="0.4">
      <c r="A54" s="30" t="s">
        <v>261</v>
      </c>
      <c r="B54" s="30" t="s">
        <v>166</v>
      </c>
      <c r="C54" s="30" t="s">
        <v>266</v>
      </c>
      <c r="D54" s="30">
        <f>'[1]Key Control'!F93</f>
        <v>155.6</v>
      </c>
      <c r="G54" s="16" t="s">
        <v>267</v>
      </c>
      <c r="H54" s="16" t="s">
        <v>268</v>
      </c>
      <c r="I54" s="16">
        <v>231.78</v>
      </c>
      <c r="J54" s="16" t="s">
        <v>54</v>
      </c>
      <c r="L54" s="71"/>
      <c r="M54" s="71"/>
      <c r="N54" s="71" t="s">
        <v>76</v>
      </c>
      <c r="O54" s="72" t="s">
        <v>259</v>
      </c>
      <c r="P54" s="50" t="s">
        <v>260</v>
      </c>
    </row>
    <row r="55" spans="1:16" ht="16.05" customHeight="1" x14ac:dyDescent="0.4">
      <c r="A55" s="30" t="s">
        <v>261</v>
      </c>
      <c r="B55" s="30" t="s">
        <v>269</v>
      </c>
      <c r="C55" s="30" t="s">
        <v>270</v>
      </c>
      <c r="D55" s="30">
        <f>'[1]Key Control'!F94</f>
        <v>108.96</v>
      </c>
      <c r="G55" s="47" t="s">
        <v>271</v>
      </c>
      <c r="H55" s="47" t="s">
        <v>272</v>
      </c>
      <c r="I55" s="47">
        <v>138.94999999999999</v>
      </c>
      <c r="J55" s="47" t="s">
        <v>54</v>
      </c>
      <c r="L55" s="71"/>
      <c r="M55" s="71"/>
      <c r="N55" s="71" t="s">
        <v>83</v>
      </c>
      <c r="O55" s="72" t="s">
        <v>259</v>
      </c>
      <c r="P55" s="50" t="s">
        <v>260</v>
      </c>
    </row>
    <row r="56" spans="1:16" ht="16.05" customHeight="1" x14ac:dyDescent="0.4">
      <c r="A56" s="30"/>
      <c r="B56" s="30"/>
      <c r="C56" s="30"/>
      <c r="D56" s="30"/>
      <c r="G56" s="16" t="s">
        <v>273</v>
      </c>
      <c r="H56" s="16" t="s">
        <v>274</v>
      </c>
      <c r="I56" s="16">
        <v>183.34</v>
      </c>
      <c r="J56" s="16" t="s">
        <v>54</v>
      </c>
      <c r="L56" s="73" t="s">
        <v>275</v>
      </c>
      <c r="M56" s="71" t="s">
        <v>276</v>
      </c>
      <c r="N56" s="71" t="s">
        <v>48</v>
      </c>
      <c r="O56" s="72" t="s">
        <v>259</v>
      </c>
      <c r="P56" s="50" t="s">
        <v>260</v>
      </c>
    </row>
    <row r="57" spans="1:16" ht="16.05" customHeight="1" x14ac:dyDescent="0.4">
      <c r="A57" s="14" t="s">
        <v>277</v>
      </c>
      <c r="B57" s="14" t="s">
        <v>239</v>
      </c>
      <c r="C57" s="14"/>
      <c r="D57" s="14"/>
      <c r="E57" s="15"/>
      <c r="G57" s="47" t="s">
        <v>278</v>
      </c>
      <c r="H57" s="47" t="s">
        <v>279</v>
      </c>
      <c r="I57" s="47">
        <v>173.38</v>
      </c>
      <c r="J57" s="47" t="s">
        <v>54</v>
      </c>
      <c r="L57" s="71"/>
      <c r="M57" s="71"/>
      <c r="N57" s="71" t="s">
        <v>65</v>
      </c>
      <c r="O57" s="72" t="s">
        <v>259</v>
      </c>
      <c r="P57" s="50" t="s">
        <v>260</v>
      </c>
    </row>
    <row r="58" spans="1:16" ht="16.05" customHeight="1" x14ac:dyDescent="0.4">
      <c r="A58" s="22" t="s">
        <v>18</v>
      </c>
      <c r="B58" s="22" t="s">
        <v>42</v>
      </c>
      <c r="C58" s="22" t="s">
        <v>43</v>
      </c>
      <c r="D58" s="22" t="s">
        <v>7</v>
      </c>
      <c r="G58" s="16" t="s">
        <v>280</v>
      </c>
      <c r="H58" s="16" t="s">
        <v>281</v>
      </c>
      <c r="I58" s="16">
        <v>184.64</v>
      </c>
      <c r="J58" s="16" t="s">
        <v>54</v>
      </c>
      <c r="L58" s="71"/>
      <c r="M58" s="71"/>
      <c r="N58" s="71" t="s">
        <v>76</v>
      </c>
      <c r="O58" s="72" t="s">
        <v>259</v>
      </c>
      <c r="P58" s="50" t="s">
        <v>260</v>
      </c>
    </row>
    <row r="59" spans="1:16" ht="16.05" customHeight="1" x14ac:dyDescent="0.4">
      <c r="A59" s="30" t="s">
        <v>46</v>
      </c>
      <c r="B59" s="30" t="s">
        <v>253</v>
      </c>
      <c r="C59" s="30" t="s">
        <v>282</v>
      </c>
      <c r="D59" s="30">
        <v>128.53</v>
      </c>
      <c r="G59" s="47" t="s">
        <v>283</v>
      </c>
      <c r="H59" s="47" t="s">
        <v>284</v>
      </c>
      <c r="I59" s="47">
        <v>243</v>
      </c>
      <c r="J59" s="47" t="s">
        <v>54</v>
      </c>
      <c r="L59" s="74"/>
      <c r="M59" s="74"/>
      <c r="N59" s="74" t="s">
        <v>83</v>
      </c>
      <c r="O59" s="75" t="s">
        <v>259</v>
      </c>
      <c r="P59" s="50" t="s">
        <v>260</v>
      </c>
    </row>
    <row r="60" spans="1:16" ht="17.399999999999999" thickBot="1" x14ac:dyDescent="0.45">
      <c r="A60" s="30" t="s">
        <v>46</v>
      </c>
      <c r="B60" s="30" t="s">
        <v>240</v>
      </c>
      <c r="C60" s="30" t="s">
        <v>285</v>
      </c>
      <c r="D60" s="30">
        <f>'[1]Key Control'!F68</f>
        <v>181.45</v>
      </c>
      <c r="G60" s="16" t="s">
        <v>286</v>
      </c>
      <c r="H60" s="16" t="s">
        <v>287</v>
      </c>
      <c r="I60" s="16">
        <v>35.36</v>
      </c>
      <c r="J60" s="16" t="s">
        <v>54</v>
      </c>
      <c r="P60" s="27"/>
    </row>
    <row r="61" spans="1:16" ht="19.95" customHeight="1" x14ac:dyDescent="0.4">
      <c r="A61" s="30" t="s">
        <v>46</v>
      </c>
      <c r="B61" s="30" t="s">
        <v>152</v>
      </c>
      <c r="C61" s="30" t="s">
        <v>244</v>
      </c>
      <c r="D61" s="30">
        <f>'[1]Key Control'!F70</f>
        <v>230.5</v>
      </c>
      <c r="G61" s="47" t="s">
        <v>288</v>
      </c>
      <c r="H61" s="47" t="s">
        <v>289</v>
      </c>
      <c r="I61" s="47">
        <v>144.09</v>
      </c>
      <c r="J61" s="47" t="s">
        <v>54</v>
      </c>
      <c r="L61" s="67" t="s">
        <v>290</v>
      </c>
      <c r="M61" s="67" t="s">
        <v>291</v>
      </c>
      <c r="N61" s="67"/>
      <c r="O61" s="67"/>
      <c r="P61" s="27"/>
    </row>
    <row r="62" spans="1:16" ht="18" customHeight="1" x14ac:dyDescent="0.4">
      <c r="A62" s="30" t="s">
        <v>292</v>
      </c>
      <c r="B62" s="30" t="s">
        <v>293</v>
      </c>
      <c r="C62" s="30" t="s">
        <v>263</v>
      </c>
      <c r="D62" s="30">
        <f>'[1]Key Control'!F90</f>
        <v>222.4</v>
      </c>
      <c r="G62" s="16" t="s">
        <v>294</v>
      </c>
      <c r="H62" s="16" t="s">
        <v>295</v>
      </c>
      <c r="I62" s="16">
        <v>119.06</v>
      </c>
      <c r="J62" s="16" t="s">
        <v>54</v>
      </c>
      <c r="L62" s="17" t="s">
        <v>18</v>
      </c>
      <c r="M62" s="17" t="s">
        <v>19</v>
      </c>
      <c r="N62" s="17" t="s">
        <v>20</v>
      </c>
      <c r="O62" s="17" t="s">
        <v>21</v>
      </c>
      <c r="P62" s="18" t="s">
        <v>7</v>
      </c>
    </row>
    <row r="63" spans="1:16" ht="16.05" customHeight="1" x14ac:dyDescent="0.4">
      <c r="A63" s="30" t="s">
        <v>292</v>
      </c>
      <c r="B63" s="30" t="s">
        <v>296</v>
      </c>
      <c r="C63" s="30" t="s">
        <v>297</v>
      </c>
      <c r="D63" s="30">
        <f>'[1]Key Control'!F91</f>
        <v>177</v>
      </c>
      <c r="G63" s="47" t="s">
        <v>298</v>
      </c>
      <c r="H63" s="47" t="s">
        <v>299</v>
      </c>
      <c r="I63" s="47">
        <v>173.33</v>
      </c>
      <c r="J63" s="47" t="s">
        <v>54</v>
      </c>
      <c r="L63" s="24" t="s">
        <v>46</v>
      </c>
      <c r="M63" s="25" t="s">
        <v>300</v>
      </c>
      <c r="N63" s="25" t="s">
        <v>48</v>
      </c>
      <c r="O63" s="26" t="s">
        <v>49</v>
      </c>
      <c r="P63" s="27">
        <f>'[1]Example Crude Property'!D42</f>
        <v>38.9</v>
      </c>
    </row>
    <row r="64" spans="1:16" ht="16.05" customHeight="1" x14ac:dyDescent="0.4">
      <c r="A64" s="30" t="s">
        <v>292</v>
      </c>
      <c r="B64" s="65" t="s">
        <v>301</v>
      </c>
      <c r="C64" s="30" t="s">
        <v>302</v>
      </c>
      <c r="D64" s="65">
        <f>D54</f>
        <v>155.6</v>
      </c>
      <c r="G64" s="16" t="s">
        <v>303</v>
      </c>
      <c r="H64" s="16" t="s">
        <v>304</v>
      </c>
      <c r="I64" s="16">
        <v>149.62</v>
      </c>
      <c r="J64" s="16" t="s">
        <v>54</v>
      </c>
      <c r="L64" s="31"/>
      <c r="M64" s="31"/>
      <c r="N64" s="31" t="s">
        <v>65</v>
      </c>
      <c r="O64" s="32" t="s">
        <v>49</v>
      </c>
      <c r="P64" s="27">
        <f>'[1]Example Crude Property'!D54</f>
        <v>0.8306</v>
      </c>
    </row>
    <row r="65" spans="1:16" ht="16.05" customHeight="1" x14ac:dyDescent="0.4">
      <c r="A65" s="30"/>
      <c r="B65" s="30"/>
      <c r="C65" s="30"/>
      <c r="D65" s="30"/>
      <c r="G65" s="47" t="s">
        <v>305</v>
      </c>
      <c r="H65" s="47" t="s">
        <v>306</v>
      </c>
      <c r="I65" s="47">
        <v>210.06</v>
      </c>
      <c r="J65" s="76" t="s">
        <v>54</v>
      </c>
      <c r="L65" s="31"/>
      <c r="M65" s="31"/>
      <c r="N65" s="31" t="s">
        <v>76</v>
      </c>
      <c r="O65" s="32" t="s">
        <v>49</v>
      </c>
      <c r="P65" s="27">
        <f>'[1]Example Crude Property'!D51</f>
        <v>3.11</v>
      </c>
    </row>
    <row r="66" spans="1:16" ht="16.05" customHeight="1" x14ac:dyDescent="0.4">
      <c r="A66" s="14" t="s">
        <v>307</v>
      </c>
      <c r="B66" s="14" t="s">
        <v>239</v>
      </c>
      <c r="C66" s="14"/>
      <c r="D66" s="14"/>
      <c r="E66" s="15"/>
      <c r="G66" s="16" t="s">
        <v>308</v>
      </c>
      <c r="H66" s="16" t="s">
        <v>309</v>
      </c>
      <c r="I66" s="16">
        <v>197.98</v>
      </c>
      <c r="J66" s="16" t="s">
        <v>54</v>
      </c>
      <c r="L66" s="31"/>
      <c r="M66" s="31"/>
      <c r="N66" s="31" t="s">
        <v>83</v>
      </c>
      <c r="O66" s="32" t="s">
        <v>49</v>
      </c>
      <c r="P66" s="27">
        <f>'[1]Example Crude Property'!D52</f>
        <v>1.39</v>
      </c>
    </row>
    <row r="67" spans="1:16" ht="16.05" customHeight="1" x14ac:dyDescent="0.4">
      <c r="A67" s="22" t="s">
        <v>18</v>
      </c>
      <c r="B67" s="22" t="s">
        <v>42</v>
      </c>
      <c r="C67" s="22" t="s">
        <v>43</v>
      </c>
      <c r="D67" s="22" t="s">
        <v>7</v>
      </c>
      <c r="G67" s="47" t="s">
        <v>310</v>
      </c>
      <c r="H67" s="47" t="s">
        <v>311</v>
      </c>
      <c r="I67" s="47">
        <v>230.5</v>
      </c>
      <c r="J67" s="47" t="s">
        <v>54</v>
      </c>
      <c r="L67" s="31"/>
      <c r="M67" s="31"/>
      <c r="N67" s="31" t="s">
        <v>91</v>
      </c>
      <c r="O67" s="32" t="s">
        <v>49</v>
      </c>
      <c r="P67" s="27">
        <f>'[1]Example Crude Property'!D55</f>
        <v>7.7799999999999994E-2</v>
      </c>
    </row>
    <row r="68" spans="1:16" ht="16.05" customHeight="1" x14ac:dyDescent="0.4">
      <c r="A68" s="30" t="s">
        <v>46</v>
      </c>
      <c r="B68" s="30" t="s">
        <v>240</v>
      </c>
      <c r="C68" s="30" t="s">
        <v>312</v>
      </c>
      <c r="D68" s="30">
        <f>'[1]Key Control'!F68</f>
        <v>181.45</v>
      </c>
      <c r="G68" s="16" t="s">
        <v>313</v>
      </c>
      <c r="H68" s="16" t="s">
        <v>314</v>
      </c>
      <c r="I68" s="16">
        <v>215.7</v>
      </c>
      <c r="J68" s="16" t="s">
        <v>54</v>
      </c>
      <c r="K68" s="77"/>
      <c r="L68" s="31"/>
      <c r="M68" s="31"/>
      <c r="N68" s="31" t="s">
        <v>114</v>
      </c>
      <c r="O68" s="48" t="s">
        <v>99</v>
      </c>
      <c r="P68" s="50"/>
    </row>
    <row r="69" spans="1:16" ht="16.05" customHeight="1" x14ac:dyDescent="0.4">
      <c r="A69" s="30" t="s">
        <v>46</v>
      </c>
      <c r="B69" s="30" t="s">
        <v>315</v>
      </c>
      <c r="C69" s="30" t="s">
        <v>316</v>
      </c>
      <c r="D69" s="30">
        <v>241.93</v>
      </c>
      <c r="G69" s="47" t="s">
        <v>253</v>
      </c>
      <c r="H69" s="47" t="s">
        <v>317</v>
      </c>
      <c r="I69" s="47">
        <v>28.53</v>
      </c>
      <c r="J69" s="47" t="s">
        <v>54</v>
      </c>
      <c r="L69" s="73" t="s">
        <v>318</v>
      </c>
      <c r="M69" s="71" t="s">
        <v>319</v>
      </c>
      <c r="N69" s="71" t="s">
        <v>65</v>
      </c>
      <c r="O69" s="72" t="s">
        <v>320</v>
      </c>
      <c r="P69" s="27">
        <f>'[1]Example Crude Property'!D411</f>
        <v>0.84640000000000004</v>
      </c>
    </row>
    <row r="70" spans="1:16" ht="16.05" customHeight="1" x14ac:dyDescent="0.4">
      <c r="A70" s="30" t="s">
        <v>46</v>
      </c>
      <c r="B70" s="30" t="s">
        <v>152</v>
      </c>
      <c r="C70" s="30" t="s">
        <v>244</v>
      </c>
      <c r="D70" s="30">
        <f>'[1]Key Control'!F79</f>
        <v>332.24</v>
      </c>
      <c r="G70" s="16" t="s">
        <v>269</v>
      </c>
      <c r="H70" s="16" t="s">
        <v>321</v>
      </c>
      <c r="I70" s="16">
        <v>108.96</v>
      </c>
      <c r="J70" s="16" t="s">
        <v>54</v>
      </c>
      <c r="L70" s="71"/>
      <c r="M70" s="71"/>
      <c r="N70" s="71" t="s">
        <v>76</v>
      </c>
      <c r="O70" s="72" t="s">
        <v>320</v>
      </c>
      <c r="P70" s="27">
        <f>'[1]Example Crude Property'!D408</f>
        <v>3.18</v>
      </c>
    </row>
    <row r="71" spans="1:16" ht="16.05" customHeight="1" x14ac:dyDescent="0.4">
      <c r="A71" s="30" t="s">
        <v>322</v>
      </c>
      <c r="B71" s="30" t="s">
        <v>293</v>
      </c>
      <c r="C71" s="30" t="s">
        <v>323</v>
      </c>
      <c r="D71" s="30">
        <f>'[1]Key Control'!F86</f>
        <v>222.4</v>
      </c>
      <c r="G71" s="47" t="s">
        <v>324</v>
      </c>
      <c r="H71" s="47" t="s">
        <v>325</v>
      </c>
      <c r="I71" s="47">
        <v>290.3</v>
      </c>
      <c r="J71" s="47" t="s">
        <v>54</v>
      </c>
      <c r="L71" s="74"/>
      <c r="M71" s="74"/>
      <c r="N71" s="74" t="s">
        <v>83</v>
      </c>
      <c r="O71" s="75" t="s">
        <v>320</v>
      </c>
      <c r="P71" s="27">
        <f>'[1]Example Crude Property'!D409</f>
        <v>1.45</v>
      </c>
    </row>
    <row r="72" spans="1:16" ht="17.399999999999999" thickBot="1" x14ac:dyDescent="0.45">
      <c r="A72" s="30" t="s">
        <v>322</v>
      </c>
      <c r="B72" s="30" t="s">
        <v>242</v>
      </c>
      <c r="C72" s="30" t="s">
        <v>326</v>
      </c>
      <c r="D72" s="30">
        <f>'[1]Key Control'!F87</f>
        <v>196.46</v>
      </c>
      <c r="G72" s="16" t="s">
        <v>327</v>
      </c>
      <c r="H72" s="16" t="s">
        <v>328</v>
      </c>
      <c r="I72" s="16">
        <v>286.83999999999997</v>
      </c>
      <c r="J72" s="16" t="s">
        <v>54</v>
      </c>
      <c r="P72" s="27"/>
    </row>
    <row r="73" spans="1:16" ht="19.95" customHeight="1" x14ac:dyDescent="0.4">
      <c r="A73" s="30" t="s">
        <v>322</v>
      </c>
      <c r="B73" s="78" t="s">
        <v>104</v>
      </c>
      <c r="C73" s="78" t="s">
        <v>329</v>
      </c>
      <c r="D73" s="79">
        <v>136.4</v>
      </c>
      <c r="G73" s="47" t="s">
        <v>330</v>
      </c>
      <c r="H73" s="47" t="s">
        <v>331</v>
      </c>
      <c r="I73" s="47">
        <v>286.29000000000002</v>
      </c>
      <c r="J73" s="47" t="s">
        <v>54</v>
      </c>
      <c r="L73" s="67" t="s">
        <v>332</v>
      </c>
      <c r="M73" s="67" t="s">
        <v>333</v>
      </c>
      <c r="N73" s="67"/>
      <c r="O73" s="67"/>
      <c r="P73" s="27"/>
    </row>
    <row r="74" spans="1:16" ht="18" customHeight="1" x14ac:dyDescent="0.4">
      <c r="A74" s="30"/>
      <c r="B74" s="30"/>
      <c r="C74" s="30"/>
      <c r="D74" s="30"/>
      <c r="G74" s="16" t="s">
        <v>334</v>
      </c>
      <c r="H74" s="16" t="s">
        <v>335</v>
      </c>
      <c r="I74" s="16">
        <v>291.05</v>
      </c>
      <c r="J74" s="16" t="s">
        <v>54</v>
      </c>
      <c r="L74" s="17" t="s">
        <v>18</v>
      </c>
      <c r="M74" s="17" t="s">
        <v>19</v>
      </c>
      <c r="N74" s="17" t="s">
        <v>20</v>
      </c>
      <c r="O74" s="17" t="s">
        <v>21</v>
      </c>
      <c r="P74" s="18" t="s">
        <v>7</v>
      </c>
    </row>
    <row r="75" spans="1:16" ht="16.05" customHeight="1" x14ac:dyDescent="0.4">
      <c r="A75" s="14" t="s">
        <v>336</v>
      </c>
      <c r="B75" s="14" t="s">
        <v>239</v>
      </c>
      <c r="C75" s="14"/>
      <c r="D75" s="14"/>
      <c r="E75" s="15"/>
      <c r="G75" s="47" t="s">
        <v>337</v>
      </c>
      <c r="H75" s="47" t="s">
        <v>338</v>
      </c>
      <c r="I75" s="47">
        <v>335.61</v>
      </c>
      <c r="J75" s="47" t="s">
        <v>54</v>
      </c>
      <c r="L75" s="68" t="s">
        <v>257</v>
      </c>
      <c r="M75" s="69" t="s">
        <v>339</v>
      </c>
      <c r="N75" s="69" t="s">
        <v>48</v>
      </c>
      <c r="O75" s="70" t="s">
        <v>340</v>
      </c>
      <c r="P75" s="50" t="s">
        <v>341</v>
      </c>
    </row>
    <row r="76" spans="1:16" ht="16.05" customHeight="1" x14ac:dyDescent="0.4">
      <c r="A76" s="22" t="s">
        <v>18</v>
      </c>
      <c r="B76" s="22" t="s">
        <v>42</v>
      </c>
      <c r="C76" s="22" t="s">
        <v>43</v>
      </c>
      <c r="D76" s="22" t="s">
        <v>7</v>
      </c>
      <c r="G76" s="16" t="s">
        <v>342</v>
      </c>
      <c r="H76" s="16" t="s">
        <v>343</v>
      </c>
      <c r="I76" s="16">
        <v>335</v>
      </c>
      <c r="J76" s="16" t="s">
        <v>54</v>
      </c>
      <c r="L76" s="71"/>
      <c r="M76" s="71"/>
      <c r="N76" s="71" t="s">
        <v>65</v>
      </c>
      <c r="O76" s="72" t="s">
        <v>340</v>
      </c>
      <c r="P76" s="50" t="s">
        <v>341</v>
      </c>
    </row>
    <row r="77" spans="1:16" ht="16.05" customHeight="1" x14ac:dyDescent="0.4">
      <c r="A77" s="30" t="s">
        <v>46</v>
      </c>
      <c r="B77" s="30" t="s">
        <v>156</v>
      </c>
      <c r="C77" s="30" t="s">
        <v>244</v>
      </c>
      <c r="D77" s="30">
        <f>'[1]Key Control'!F60</f>
        <v>154.5</v>
      </c>
      <c r="G77" s="47" t="s">
        <v>344</v>
      </c>
      <c r="H77" s="47" t="s">
        <v>345</v>
      </c>
      <c r="I77" s="47">
        <v>378.75</v>
      </c>
      <c r="J77" s="47" t="s">
        <v>54</v>
      </c>
      <c r="L77" s="71"/>
      <c r="M77" s="71"/>
      <c r="N77" s="71" t="s">
        <v>76</v>
      </c>
      <c r="O77" s="72" t="s">
        <v>340</v>
      </c>
      <c r="P77" s="50" t="s">
        <v>341</v>
      </c>
    </row>
    <row r="78" spans="1:16" ht="16.05" customHeight="1" x14ac:dyDescent="0.4">
      <c r="A78" s="30" t="s">
        <v>46</v>
      </c>
      <c r="B78" s="30" t="s">
        <v>288</v>
      </c>
      <c r="C78" s="30" t="s">
        <v>346</v>
      </c>
      <c r="D78" s="30">
        <f>'[1]Key Control'!F63</f>
        <v>144.09</v>
      </c>
      <c r="G78" s="16" t="s">
        <v>347</v>
      </c>
      <c r="H78" s="16" t="s">
        <v>348</v>
      </c>
      <c r="I78" s="16">
        <v>356.49</v>
      </c>
      <c r="J78" s="16" t="s">
        <v>54</v>
      </c>
      <c r="L78" s="71"/>
      <c r="M78" s="71"/>
      <c r="N78" s="71" t="s">
        <v>83</v>
      </c>
      <c r="O78" s="72" t="s">
        <v>340</v>
      </c>
      <c r="P78" s="50" t="s">
        <v>341</v>
      </c>
    </row>
    <row r="79" spans="1:16" ht="16.05" customHeight="1" x14ac:dyDescent="0.4">
      <c r="A79" s="30" t="s">
        <v>46</v>
      </c>
      <c r="B79" s="30" t="s">
        <v>249</v>
      </c>
      <c r="C79" s="30" t="s">
        <v>250</v>
      </c>
      <c r="D79" s="30">
        <v>95.3</v>
      </c>
      <c r="G79" s="47" t="s">
        <v>349</v>
      </c>
      <c r="H79" s="47" t="s">
        <v>350</v>
      </c>
      <c r="I79" s="47">
        <v>414.94</v>
      </c>
      <c r="J79" s="47" t="s">
        <v>54</v>
      </c>
      <c r="L79" s="71"/>
      <c r="M79" s="71"/>
      <c r="N79" s="71" t="s">
        <v>91</v>
      </c>
      <c r="O79" s="72" t="s">
        <v>340</v>
      </c>
      <c r="P79" s="50" t="s">
        <v>341</v>
      </c>
    </row>
    <row r="80" spans="1:16" ht="16.05" customHeight="1" x14ac:dyDescent="0.4">
      <c r="A80" s="30" t="s">
        <v>351</v>
      </c>
      <c r="B80" s="30" t="s">
        <v>171</v>
      </c>
      <c r="C80" s="30" t="s">
        <v>352</v>
      </c>
      <c r="D80" s="30">
        <f>'[1]Key Control'!F95</f>
        <v>169.8</v>
      </c>
      <c r="G80" s="16" t="s">
        <v>353</v>
      </c>
      <c r="H80" s="16" t="s">
        <v>354</v>
      </c>
      <c r="I80" s="16">
        <v>356.36</v>
      </c>
      <c r="J80" s="16" t="s">
        <v>54</v>
      </c>
      <c r="L80" s="71"/>
      <c r="M80" s="71"/>
      <c r="N80" s="71" t="s">
        <v>98</v>
      </c>
      <c r="O80" s="72" t="s">
        <v>340</v>
      </c>
      <c r="P80" s="50" t="s">
        <v>341</v>
      </c>
    </row>
    <row r="81" spans="1:16" ht="16.05" customHeight="1" x14ac:dyDescent="0.4">
      <c r="A81" s="30" t="s">
        <v>351</v>
      </c>
      <c r="B81" s="30" t="s">
        <v>294</v>
      </c>
      <c r="C81" s="30" t="s">
        <v>355</v>
      </c>
      <c r="D81" s="30">
        <f>'[1]Key Control'!F96</f>
        <v>119.06</v>
      </c>
      <c r="G81" s="47" t="s">
        <v>356</v>
      </c>
      <c r="H81" s="47" t="s">
        <v>357</v>
      </c>
      <c r="I81" s="47">
        <v>345.41</v>
      </c>
      <c r="J81" s="47" t="s">
        <v>54</v>
      </c>
      <c r="L81" s="71"/>
      <c r="M81" s="71"/>
      <c r="N81" s="71" t="s">
        <v>106</v>
      </c>
      <c r="O81" s="72" t="s">
        <v>340</v>
      </c>
      <c r="P81" s="50" t="s">
        <v>341</v>
      </c>
    </row>
    <row r="82" spans="1:16" ht="16.05" customHeight="1" x14ac:dyDescent="0.4">
      <c r="A82" s="30" t="s">
        <v>351</v>
      </c>
      <c r="B82" s="30" t="str">
        <f t="shared" ref="B82:D82" si="4">B53</f>
        <v>4TI107.pv</v>
      </c>
      <c r="C82" s="30" t="str">
        <f t="shared" si="4"/>
        <v>Inlet temp 2RS</v>
      </c>
      <c r="D82" s="30">
        <f t="shared" si="4"/>
        <v>156.93</v>
      </c>
      <c r="G82" s="16" t="s">
        <v>358</v>
      </c>
      <c r="H82" s="16" t="s">
        <v>359</v>
      </c>
      <c r="I82" s="16">
        <v>340.1</v>
      </c>
      <c r="J82" s="16" t="s">
        <v>54</v>
      </c>
      <c r="L82" s="71"/>
      <c r="M82" s="71"/>
      <c r="N82" s="71" t="s">
        <v>114</v>
      </c>
      <c r="O82" s="72" t="s">
        <v>340</v>
      </c>
      <c r="P82" s="50" t="s">
        <v>341</v>
      </c>
    </row>
    <row r="83" spans="1:16" ht="16.05" customHeight="1" x14ac:dyDescent="0.4">
      <c r="A83" s="30"/>
      <c r="B83" s="30"/>
      <c r="C83" s="30"/>
      <c r="D83" s="30"/>
      <c r="G83" s="47" t="s">
        <v>360</v>
      </c>
      <c r="H83" s="47" t="s">
        <v>361</v>
      </c>
      <c r="I83" s="47">
        <v>389.4</v>
      </c>
      <c r="J83" s="47" t="s">
        <v>54</v>
      </c>
      <c r="L83" s="52" t="s">
        <v>261</v>
      </c>
      <c r="M83" s="53" t="s">
        <v>362</v>
      </c>
      <c r="N83" s="53" t="s">
        <v>48</v>
      </c>
      <c r="O83" s="54" t="s">
        <v>49</v>
      </c>
      <c r="P83" s="27">
        <f>'[1]Example Crude Property'!D332</f>
        <v>45.2</v>
      </c>
    </row>
    <row r="84" spans="1:16" ht="16.05" customHeight="1" x14ac:dyDescent="0.4">
      <c r="A84" s="14" t="s">
        <v>363</v>
      </c>
      <c r="B84" s="14" t="s">
        <v>239</v>
      </c>
      <c r="C84" s="14"/>
      <c r="D84" s="14"/>
      <c r="E84" s="15"/>
      <c r="G84" s="16" t="s">
        <v>364</v>
      </c>
      <c r="H84" s="16" t="s">
        <v>365</v>
      </c>
      <c r="I84" s="16">
        <v>370.14</v>
      </c>
      <c r="J84" s="16" t="s">
        <v>54</v>
      </c>
      <c r="L84" s="53"/>
      <c r="M84" s="53"/>
      <c r="N84" s="53" t="s">
        <v>65</v>
      </c>
      <c r="O84" s="54" t="s">
        <v>49</v>
      </c>
      <c r="P84" s="27">
        <f>'[1]Example Crude Property'!D350</f>
        <v>0.80089999999999995</v>
      </c>
    </row>
    <row r="85" spans="1:16" ht="16.05" customHeight="1" x14ac:dyDescent="0.4">
      <c r="A85" s="22" t="s">
        <v>18</v>
      </c>
      <c r="B85" s="22" t="s">
        <v>42</v>
      </c>
      <c r="C85" s="22" t="s">
        <v>43</v>
      </c>
      <c r="D85" s="22" t="s">
        <v>7</v>
      </c>
      <c r="G85" s="47" t="s">
        <v>366</v>
      </c>
      <c r="H85" s="47" t="s">
        <v>367</v>
      </c>
      <c r="I85" s="47">
        <v>347.98</v>
      </c>
      <c r="J85" s="47" t="s">
        <v>54</v>
      </c>
      <c r="L85" s="53"/>
      <c r="M85" s="53"/>
      <c r="N85" s="53" t="s">
        <v>76</v>
      </c>
      <c r="O85" s="54" t="s">
        <v>49</v>
      </c>
      <c r="P85" s="27">
        <f>'[1]Example Crude Property'!D347</f>
        <v>0.999</v>
      </c>
    </row>
    <row r="86" spans="1:16" ht="16.05" customHeight="1" x14ac:dyDescent="0.4">
      <c r="A86" s="30" t="s">
        <v>46</v>
      </c>
      <c r="B86" s="30" t="s">
        <v>288</v>
      </c>
      <c r="C86" s="30" t="s">
        <v>368</v>
      </c>
      <c r="D86" s="30">
        <f>'[1]Key Control'!F63</f>
        <v>144.09</v>
      </c>
      <c r="G86" s="16" t="s">
        <v>369</v>
      </c>
      <c r="H86" s="16" t="s">
        <v>370</v>
      </c>
      <c r="I86" s="16">
        <v>332.24</v>
      </c>
      <c r="J86" s="16" t="s">
        <v>54</v>
      </c>
      <c r="L86" s="53"/>
      <c r="M86" s="53"/>
      <c r="N86" s="53" t="s">
        <v>83</v>
      </c>
      <c r="O86" s="54" t="s">
        <v>49</v>
      </c>
      <c r="P86" s="27">
        <f>'[1]Example Crude Property'!D348</f>
        <v>0.622</v>
      </c>
    </row>
    <row r="87" spans="1:16" ht="16.05" customHeight="1" x14ac:dyDescent="0.4">
      <c r="A87" s="30" t="s">
        <v>46</v>
      </c>
      <c r="B87" s="30" t="s">
        <v>298</v>
      </c>
      <c r="C87" s="30" t="s">
        <v>371</v>
      </c>
      <c r="D87" s="30">
        <f>'[1]Key Control'!F66</f>
        <v>173.33</v>
      </c>
      <c r="G87" s="47" t="s">
        <v>372</v>
      </c>
      <c r="H87" s="47" t="s">
        <v>373</v>
      </c>
      <c r="I87" s="47">
        <v>319.38</v>
      </c>
      <c r="J87" s="47" t="s">
        <v>54</v>
      </c>
      <c r="L87" s="58"/>
      <c r="M87" s="58"/>
      <c r="N87" s="58" t="s">
        <v>91</v>
      </c>
      <c r="O87" s="59" t="s">
        <v>49</v>
      </c>
      <c r="P87" s="27">
        <f>'[1]Example Crude Property'!D351</f>
        <v>1.0999999999999999E-2</v>
      </c>
    </row>
    <row r="88" spans="1:16" ht="17.399999999999999" thickBot="1" x14ac:dyDescent="0.45">
      <c r="A88" s="30" t="s">
        <v>46</v>
      </c>
      <c r="B88" s="30" t="str">
        <f>B77</f>
        <v>1FI016.pv</v>
      </c>
      <c r="C88" s="30" t="str">
        <f t="shared" ref="C88:D88" si="5">C77</f>
        <v>Inlet flow Crude</v>
      </c>
      <c r="D88" s="30">
        <f t="shared" si="5"/>
        <v>154.5</v>
      </c>
      <c r="G88" s="16" t="s">
        <v>227</v>
      </c>
      <c r="H88" s="16" t="s">
        <v>374</v>
      </c>
      <c r="I88" s="16">
        <v>144.56</v>
      </c>
      <c r="J88" s="16" t="s">
        <v>54</v>
      </c>
      <c r="P88" s="27"/>
    </row>
    <row r="89" spans="1:16" ht="19.95" customHeight="1" x14ac:dyDescent="0.4">
      <c r="A89" s="30" t="s">
        <v>375</v>
      </c>
      <c r="B89" s="30" t="s">
        <v>313</v>
      </c>
      <c r="C89" s="30" t="s">
        <v>376</v>
      </c>
      <c r="D89" s="30">
        <f>'[1]Key Control'!F99</f>
        <v>215.7</v>
      </c>
      <c r="G89" s="47" t="s">
        <v>377</v>
      </c>
      <c r="H89" s="47" t="s">
        <v>378</v>
      </c>
      <c r="I89" s="47">
        <v>324.27999999999997</v>
      </c>
      <c r="J89" s="47" t="s">
        <v>54</v>
      </c>
      <c r="L89" s="8" t="s">
        <v>277</v>
      </c>
      <c r="M89" s="8" t="s">
        <v>239</v>
      </c>
      <c r="N89" s="8"/>
      <c r="O89" s="8"/>
      <c r="P89" s="27"/>
    </row>
    <row r="90" spans="1:16" ht="18" customHeight="1" x14ac:dyDescent="0.4">
      <c r="A90" s="30" t="s">
        <v>375</v>
      </c>
      <c r="B90" s="30" t="s">
        <v>303</v>
      </c>
      <c r="C90" s="30" t="s">
        <v>379</v>
      </c>
      <c r="D90" s="30">
        <f>'[1]Key Control'!F100</f>
        <v>149.62</v>
      </c>
      <c r="G90" s="16" t="s">
        <v>380</v>
      </c>
      <c r="H90" s="16" t="s">
        <v>381</v>
      </c>
      <c r="I90" s="16">
        <v>227.74</v>
      </c>
      <c r="J90" s="16" t="s">
        <v>54</v>
      </c>
      <c r="L90" s="17" t="s">
        <v>18</v>
      </c>
      <c r="M90" s="17" t="s">
        <v>19</v>
      </c>
      <c r="N90" s="17" t="s">
        <v>20</v>
      </c>
      <c r="O90" s="17" t="s">
        <v>21</v>
      </c>
      <c r="P90" s="18" t="s">
        <v>7</v>
      </c>
    </row>
    <row r="91" spans="1:16" ht="16.05" customHeight="1" x14ac:dyDescent="0.4">
      <c r="A91" s="80" t="s">
        <v>375</v>
      </c>
      <c r="B91" s="81" t="s">
        <v>382</v>
      </c>
      <c r="C91" s="80" t="s">
        <v>383</v>
      </c>
      <c r="D91" s="80">
        <f>67.1+0</f>
        <v>67.099999999999994</v>
      </c>
      <c r="G91" s="47" t="s">
        <v>384</v>
      </c>
      <c r="H91" s="47" t="s">
        <v>385</v>
      </c>
      <c r="I91" s="47">
        <v>232.63</v>
      </c>
      <c r="J91" s="47" t="s">
        <v>54</v>
      </c>
      <c r="L91" s="24" t="s">
        <v>46</v>
      </c>
      <c r="M91" s="25" t="s">
        <v>386</v>
      </c>
      <c r="N91" s="25" t="s">
        <v>48</v>
      </c>
      <c r="O91" s="26" t="s">
        <v>49</v>
      </c>
      <c r="P91" s="27">
        <f>'[1]Example Crude Property'!D42</f>
        <v>38.9</v>
      </c>
    </row>
    <row r="92" spans="1:16" ht="16.05" customHeight="1" x14ac:dyDescent="0.4">
      <c r="A92" s="30"/>
      <c r="B92" s="30"/>
      <c r="C92" s="30"/>
      <c r="D92" s="30"/>
      <c r="G92" s="16" t="s">
        <v>387</v>
      </c>
      <c r="H92" s="16" t="s">
        <v>388</v>
      </c>
      <c r="I92" s="16">
        <v>39.86</v>
      </c>
      <c r="J92" s="16" t="s">
        <v>54</v>
      </c>
      <c r="L92" s="31"/>
      <c r="M92" s="31"/>
      <c r="N92" s="31" t="s">
        <v>65</v>
      </c>
      <c r="O92" s="32" t="s">
        <v>49</v>
      </c>
      <c r="P92" s="27">
        <f>'[1]Example Crude Property'!D54</f>
        <v>0.8306</v>
      </c>
    </row>
    <row r="93" spans="1:16" ht="16.05" customHeight="1" x14ac:dyDescent="0.4">
      <c r="A93" s="14" t="s">
        <v>389</v>
      </c>
      <c r="B93" s="14" t="s">
        <v>239</v>
      </c>
      <c r="C93" s="14"/>
      <c r="D93" s="14"/>
      <c r="E93" s="15"/>
      <c r="G93" s="47" t="s">
        <v>87</v>
      </c>
      <c r="H93" s="47" t="s">
        <v>390</v>
      </c>
      <c r="I93" s="47">
        <v>116.43</v>
      </c>
      <c r="J93" s="47" t="s">
        <v>54</v>
      </c>
      <c r="L93" s="31"/>
      <c r="M93" s="31"/>
      <c r="N93" s="31" t="s">
        <v>76</v>
      </c>
      <c r="O93" s="32" t="s">
        <v>49</v>
      </c>
      <c r="P93" s="27">
        <f>'[1]Example Crude Property'!D51</f>
        <v>3.11</v>
      </c>
    </row>
    <row r="94" spans="1:16" ht="16.05" customHeight="1" x14ac:dyDescent="0.4">
      <c r="A94" s="22" t="s">
        <v>18</v>
      </c>
      <c r="B94" s="22" t="s">
        <v>42</v>
      </c>
      <c r="C94" s="22" t="s">
        <v>43</v>
      </c>
      <c r="D94" s="22" t="s">
        <v>7</v>
      </c>
      <c r="G94" s="16" t="s">
        <v>293</v>
      </c>
      <c r="H94" s="16" t="s">
        <v>391</v>
      </c>
      <c r="I94" s="16">
        <v>222.4</v>
      </c>
      <c r="J94" s="16" t="s">
        <v>54</v>
      </c>
      <c r="L94" s="31"/>
      <c r="M94" s="31"/>
      <c r="N94" s="31" t="s">
        <v>83</v>
      </c>
      <c r="O94" s="32" t="s">
        <v>49</v>
      </c>
      <c r="P94" s="27">
        <f>'[1]Example Crude Property'!D52</f>
        <v>1.39</v>
      </c>
    </row>
    <row r="95" spans="1:16" ht="16.05" customHeight="1" x14ac:dyDescent="0.4">
      <c r="A95" s="30" t="s">
        <v>46</v>
      </c>
      <c r="B95" s="30" t="s">
        <v>298</v>
      </c>
      <c r="C95" s="30" t="s">
        <v>392</v>
      </c>
      <c r="D95" s="30">
        <f>'[1]Key Control'!F66</f>
        <v>173.33</v>
      </c>
      <c r="G95" s="47" t="s">
        <v>393</v>
      </c>
      <c r="H95" s="47" t="s">
        <v>394</v>
      </c>
      <c r="I95" s="47">
        <v>412.35</v>
      </c>
      <c r="J95" s="47" t="s">
        <v>54</v>
      </c>
      <c r="L95" s="31"/>
      <c r="M95" s="31"/>
      <c r="N95" s="31" t="s">
        <v>91</v>
      </c>
      <c r="O95" s="32" t="s">
        <v>49</v>
      </c>
      <c r="P95" s="27">
        <f>'[1]Example Crude Property'!D55</f>
        <v>7.7799999999999994E-2</v>
      </c>
    </row>
    <row r="96" spans="1:16" ht="16.05" customHeight="1" x14ac:dyDescent="0.4">
      <c r="A96" s="30" t="s">
        <v>46</v>
      </c>
      <c r="B96" s="30" t="s">
        <v>305</v>
      </c>
      <c r="C96" s="30" t="s">
        <v>395</v>
      </c>
      <c r="D96" s="30">
        <f>'[1]Key Control'!F69</f>
        <v>210.06</v>
      </c>
      <c r="G96" s="16" t="s">
        <v>396</v>
      </c>
      <c r="H96" s="16" t="s">
        <v>397</v>
      </c>
      <c r="I96" s="16">
        <v>154.88</v>
      </c>
      <c r="J96" s="16" t="s">
        <v>54</v>
      </c>
      <c r="L96" s="52" t="s">
        <v>292</v>
      </c>
      <c r="M96" s="53" t="s">
        <v>398</v>
      </c>
      <c r="N96" s="53" t="s">
        <v>48</v>
      </c>
      <c r="O96" s="54" t="s">
        <v>49</v>
      </c>
      <c r="P96" s="27">
        <f>'[1]Example Crude Property'!D332</f>
        <v>45.2</v>
      </c>
    </row>
    <row r="97" spans="1:16" ht="16.05" customHeight="1" x14ac:dyDescent="0.4">
      <c r="A97" s="30" t="str">
        <f t="shared" ref="A97:D97" si="6">A88</f>
        <v>Cold (Crude)</v>
      </c>
      <c r="B97" s="30" t="str">
        <f>B88</f>
        <v>1FI016.pv</v>
      </c>
      <c r="C97" s="30" t="str">
        <f t="shared" si="6"/>
        <v>Inlet flow Crude</v>
      </c>
      <c r="D97" s="30">
        <f t="shared" si="6"/>
        <v>154.5</v>
      </c>
      <c r="G97" s="47" t="s">
        <v>399</v>
      </c>
      <c r="H97" s="47" t="s">
        <v>400</v>
      </c>
      <c r="I97" s="47">
        <v>183.71</v>
      </c>
      <c r="J97" s="47" t="s">
        <v>54</v>
      </c>
      <c r="L97" s="53"/>
      <c r="M97" s="53"/>
      <c r="N97" s="53" t="s">
        <v>65</v>
      </c>
      <c r="O97" s="54" t="s">
        <v>49</v>
      </c>
      <c r="P97" s="27">
        <f>'[1]Example Crude Property'!D350</f>
        <v>0.80089999999999995</v>
      </c>
    </row>
    <row r="98" spans="1:16" ht="16.05" customHeight="1" x14ac:dyDescent="0.4">
      <c r="A98" s="30" t="s">
        <v>401</v>
      </c>
      <c r="B98" s="30" t="s">
        <v>308</v>
      </c>
      <c r="C98" s="30" t="s">
        <v>402</v>
      </c>
      <c r="D98" s="30">
        <f>'[1]Key Control'!F83</f>
        <v>197.98</v>
      </c>
      <c r="G98" s="16" t="s">
        <v>403</v>
      </c>
      <c r="H98" s="16" t="s">
        <v>404</v>
      </c>
      <c r="I98" s="16">
        <v>182.9</v>
      </c>
      <c r="J98" s="16" t="s">
        <v>54</v>
      </c>
      <c r="L98" s="53"/>
      <c r="M98" s="53"/>
      <c r="N98" s="53" t="s">
        <v>76</v>
      </c>
      <c r="O98" s="54" t="s">
        <v>49</v>
      </c>
      <c r="P98" s="27">
        <f>'[1]Example Crude Property'!D347</f>
        <v>0.999</v>
      </c>
    </row>
    <row r="99" spans="1:16" ht="16.05" customHeight="1" x14ac:dyDescent="0.4">
      <c r="A99" s="30" t="s">
        <v>401</v>
      </c>
      <c r="B99" s="30" t="s">
        <v>286</v>
      </c>
      <c r="C99" s="30" t="s">
        <v>405</v>
      </c>
      <c r="D99" s="30">
        <f>'[1]Key Control'!$F$82</f>
        <v>35.36</v>
      </c>
      <c r="G99" s="47" t="s">
        <v>249</v>
      </c>
      <c r="H99" s="47" t="s">
        <v>406</v>
      </c>
      <c r="I99" s="47">
        <v>95.3</v>
      </c>
      <c r="J99" s="47" t="s">
        <v>54</v>
      </c>
      <c r="L99" s="53"/>
      <c r="M99" s="53"/>
      <c r="N99" s="53" t="s">
        <v>83</v>
      </c>
      <c r="O99" s="54" t="s">
        <v>49</v>
      </c>
      <c r="P99" s="27">
        <f>'[1]Example Crude Property'!D348</f>
        <v>0.622</v>
      </c>
    </row>
    <row r="100" spans="1:16" ht="16.05" customHeight="1" x14ac:dyDescent="0.4">
      <c r="A100" s="80" t="s">
        <v>401</v>
      </c>
      <c r="B100" s="81" t="s">
        <v>407</v>
      </c>
      <c r="C100" s="80" t="s">
        <v>408</v>
      </c>
      <c r="D100" s="80">
        <v>188.12</v>
      </c>
      <c r="G100" s="16" t="s">
        <v>407</v>
      </c>
      <c r="H100" s="16" t="s">
        <v>408</v>
      </c>
      <c r="I100" s="16">
        <v>188.12</v>
      </c>
      <c r="J100" s="16" t="s">
        <v>75</v>
      </c>
      <c r="L100" s="58"/>
      <c r="M100" s="58"/>
      <c r="N100" s="58" t="s">
        <v>91</v>
      </c>
      <c r="O100" s="59" t="s">
        <v>49</v>
      </c>
      <c r="P100" s="27">
        <f>'[1]Example Crude Property'!D351</f>
        <v>1.0999999999999999E-2</v>
      </c>
    </row>
    <row r="101" spans="1:16" ht="17.399999999999999" thickBot="1" x14ac:dyDescent="0.45">
      <c r="A101" s="30"/>
      <c r="B101" s="30"/>
      <c r="C101" s="30"/>
      <c r="D101" s="30"/>
      <c r="G101" s="47" t="s">
        <v>262</v>
      </c>
      <c r="H101" s="47" t="s">
        <v>409</v>
      </c>
      <c r="I101" s="47">
        <v>156.93</v>
      </c>
      <c r="J101" s="47" t="s">
        <v>54</v>
      </c>
      <c r="P101" s="27"/>
    </row>
    <row r="102" spans="1:16" ht="19.95" customHeight="1" x14ac:dyDescent="0.4">
      <c r="A102" s="14" t="s">
        <v>410</v>
      </c>
      <c r="B102" s="14" t="s">
        <v>239</v>
      </c>
      <c r="C102" s="14"/>
      <c r="D102" s="14"/>
      <c r="E102" s="15"/>
      <c r="G102" s="16" t="s">
        <v>296</v>
      </c>
      <c r="H102" s="16" t="s">
        <v>411</v>
      </c>
      <c r="I102" s="16">
        <v>177</v>
      </c>
      <c r="J102" s="16" t="s">
        <v>54</v>
      </c>
      <c r="L102" s="8" t="s">
        <v>307</v>
      </c>
      <c r="M102" s="8" t="s">
        <v>239</v>
      </c>
      <c r="N102" s="8"/>
      <c r="O102" s="8"/>
      <c r="P102" s="27"/>
    </row>
    <row r="103" spans="1:16" ht="18" customHeight="1" x14ac:dyDescent="0.4">
      <c r="A103" s="22" t="s">
        <v>18</v>
      </c>
      <c r="B103" s="22" t="s">
        <v>42</v>
      </c>
      <c r="C103" s="22" t="s">
        <v>43</v>
      </c>
      <c r="D103" s="22" t="s">
        <v>7</v>
      </c>
      <c r="G103" s="82" t="s">
        <v>412</v>
      </c>
      <c r="H103" s="82" t="s">
        <v>413</v>
      </c>
      <c r="I103" s="82">
        <v>112.94</v>
      </c>
      <c r="J103" s="82" t="s">
        <v>54</v>
      </c>
      <c r="L103" s="17" t="s">
        <v>18</v>
      </c>
      <c r="M103" s="17" t="s">
        <v>19</v>
      </c>
      <c r="N103" s="17" t="s">
        <v>20</v>
      </c>
      <c r="O103" s="17" t="s">
        <v>21</v>
      </c>
      <c r="P103" s="18" t="s">
        <v>7</v>
      </c>
    </row>
    <row r="104" spans="1:16" ht="16.05" customHeight="1" x14ac:dyDescent="0.4">
      <c r="A104" s="30" t="s">
        <v>46</v>
      </c>
      <c r="B104" s="30" t="s">
        <v>305</v>
      </c>
      <c r="C104" s="30" t="s">
        <v>414</v>
      </c>
      <c r="D104" s="30">
        <f>'[1]Key Control'!F69</f>
        <v>210.06</v>
      </c>
      <c r="G104" s="30"/>
      <c r="H104" s="30"/>
      <c r="I104" s="30"/>
      <c r="J104" s="30"/>
      <c r="L104" s="24" t="s">
        <v>46</v>
      </c>
      <c r="M104" s="25" t="s">
        <v>415</v>
      </c>
      <c r="N104" s="25" t="s">
        <v>48</v>
      </c>
      <c r="O104" s="26" t="s">
        <v>49</v>
      </c>
      <c r="P104" s="27">
        <f>'[1]Example Crude Property'!D42</f>
        <v>38.9</v>
      </c>
    </row>
    <row r="105" spans="1:16" ht="16.05" customHeight="1" x14ac:dyDescent="0.45">
      <c r="A105" s="30" t="s">
        <v>46</v>
      </c>
      <c r="B105" s="30" t="s">
        <v>310</v>
      </c>
      <c r="C105" s="30" t="s">
        <v>416</v>
      </c>
      <c r="D105" s="30">
        <f>'[1]Key Control'!F70</f>
        <v>230.5</v>
      </c>
      <c r="G105" s="83" t="s">
        <v>417</v>
      </c>
      <c r="H105" s="83"/>
      <c r="I105" s="83"/>
      <c r="J105" s="83"/>
      <c r="L105" s="31"/>
      <c r="M105" s="31"/>
      <c r="N105" s="31" t="s">
        <v>65</v>
      </c>
      <c r="O105" s="32" t="s">
        <v>49</v>
      </c>
      <c r="P105" s="27">
        <f>'[1]Example Crude Property'!D54</f>
        <v>0.8306</v>
      </c>
    </row>
    <row r="106" spans="1:16" ht="16.05" customHeight="1" x14ac:dyDescent="0.4">
      <c r="A106" s="30" t="s">
        <v>46</v>
      </c>
      <c r="B106" s="30" t="str">
        <f>B97</f>
        <v>1FI016.pv</v>
      </c>
      <c r="C106" s="30" t="str">
        <f t="shared" ref="C106:D106" si="7">C97</f>
        <v>Inlet flow Crude</v>
      </c>
      <c r="D106" s="30">
        <f t="shared" si="7"/>
        <v>154.5</v>
      </c>
      <c r="G106" s="84" t="s">
        <v>5</v>
      </c>
      <c r="H106" s="84" t="s">
        <v>6</v>
      </c>
      <c r="I106" s="84" t="s">
        <v>7</v>
      </c>
      <c r="J106" s="84" t="s">
        <v>418</v>
      </c>
      <c r="L106" s="31"/>
      <c r="M106" s="31"/>
      <c r="N106" s="31" t="s">
        <v>76</v>
      </c>
      <c r="O106" s="32" t="s">
        <v>49</v>
      </c>
      <c r="P106" s="27">
        <f>'[1]Example Crude Property'!D51</f>
        <v>3.11</v>
      </c>
    </row>
    <row r="107" spans="1:16" ht="16.05" customHeight="1" x14ac:dyDescent="0.4">
      <c r="A107" s="30" t="s">
        <v>375</v>
      </c>
      <c r="B107" s="30" t="s">
        <v>372</v>
      </c>
      <c r="C107" s="30" t="s">
        <v>419</v>
      </c>
      <c r="D107" s="30">
        <f>'[1]Key Control'!F98</f>
        <v>319.38</v>
      </c>
      <c r="G107" s="85" t="s">
        <v>420</v>
      </c>
      <c r="H107" s="86" t="s">
        <v>421</v>
      </c>
      <c r="I107" s="86">
        <v>19.350000000000001</v>
      </c>
      <c r="J107" s="86" t="s">
        <v>422</v>
      </c>
      <c r="L107" s="31"/>
      <c r="M107" s="31"/>
      <c r="N107" s="31" t="s">
        <v>83</v>
      </c>
      <c r="O107" s="32" t="s">
        <v>49</v>
      </c>
      <c r="P107" s="27">
        <f>'[1]Example Crude Property'!D52</f>
        <v>1.39</v>
      </c>
    </row>
    <row r="108" spans="1:16" ht="16.05" customHeight="1" x14ac:dyDescent="0.4">
      <c r="A108" s="30" t="s">
        <v>375</v>
      </c>
      <c r="B108" s="30" t="s">
        <v>313</v>
      </c>
      <c r="C108" s="30" t="s">
        <v>423</v>
      </c>
      <c r="D108" s="30">
        <f>'[1]Key Control'!F99</f>
        <v>215.7</v>
      </c>
      <c r="G108" s="87" t="s">
        <v>424</v>
      </c>
      <c r="H108" s="82" t="s">
        <v>425</v>
      </c>
      <c r="I108" s="82">
        <v>19.5</v>
      </c>
      <c r="J108" s="82" t="s">
        <v>422</v>
      </c>
      <c r="L108" s="31"/>
      <c r="M108" s="31"/>
      <c r="N108" s="31" t="s">
        <v>91</v>
      </c>
      <c r="O108" s="32" t="s">
        <v>49</v>
      </c>
      <c r="P108" s="27">
        <f>'[1]Example Crude Property'!D55</f>
        <v>7.7799999999999994E-2</v>
      </c>
    </row>
    <row r="109" spans="1:16" ht="16.05" customHeight="1" x14ac:dyDescent="0.4">
      <c r="A109" s="30" t="s">
        <v>375</v>
      </c>
      <c r="B109" s="30" t="str">
        <f t="shared" ref="B109:D109" si="8">B91</f>
        <v>00FIC001.pv+1FC062.pv</v>
      </c>
      <c r="C109" s="30" t="str">
        <f t="shared" si="8"/>
        <v xml:space="preserve">Flow GO </v>
      </c>
      <c r="D109" s="30">
        <f t="shared" si="8"/>
        <v>67.099999999999994</v>
      </c>
      <c r="G109" s="86" t="s">
        <v>426</v>
      </c>
      <c r="H109" s="86" t="s">
        <v>427</v>
      </c>
      <c r="I109" s="86"/>
      <c r="J109" s="86" t="s">
        <v>121</v>
      </c>
      <c r="L109" s="52" t="s">
        <v>322</v>
      </c>
      <c r="M109" s="53" t="s">
        <v>428</v>
      </c>
      <c r="N109" s="53" t="s">
        <v>48</v>
      </c>
      <c r="O109" s="54" t="s">
        <v>49</v>
      </c>
      <c r="P109" s="27">
        <f>'[1]Example Crude Property'!D332</f>
        <v>45.2</v>
      </c>
    </row>
    <row r="110" spans="1:16" ht="16.05" customHeight="1" x14ac:dyDescent="0.4">
      <c r="A110" s="30"/>
      <c r="B110" s="30"/>
      <c r="C110" s="30"/>
      <c r="D110" s="30"/>
      <c r="G110" s="82" t="s">
        <v>429</v>
      </c>
      <c r="H110" s="82" t="s">
        <v>430</v>
      </c>
      <c r="I110" s="82"/>
      <c r="J110" s="82" t="s">
        <v>121</v>
      </c>
      <c r="L110" s="53"/>
      <c r="M110" s="53"/>
      <c r="N110" s="53" t="s">
        <v>65</v>
      </c>
      <c r="O110" s="54" t="s">
        <v>49</v>
      </c>
      <c r="P110" s="27">
        <f>'[1]Example Crude Property'!D350</f>
        <v>0.80089999999999995</v>
      </c>
    </row>
    <row r="111" spans="1:16" ht="16.05" customHeight="1" x14ac:dyDescent="0.4">
      <c r="A111" s="14" t="s">
        <v>431</v>
      </c>
      <c r="B111" s="14" t="s">
        <v>239</v>
      </c>
      <c r="C111" s="14"/>
      <c r="D111" s="14"/>
      <c r="E111" s="15"/>
      <c r="G111" s="86" t="s">
        <v>432</v>
      </c>
      <c r="H111" s="86" t="s">
        <v>433</v>
      </c>
      <c r="I111" s="86"/>
      <c r="J111" s="86" t="s">
        <v>121</v>
      </c>
      <c r="L111" s="53"/>
      <c r="M111" s="53"/>
      <c r="N111" s="53" t="s">
        <v>76</v>
      </c>
      <c r="O111" s="54" t="s">
        <v>49</v>
      </c>
      <c r="P111" s="27">
        <f>'[1]Example Crude Property'!D347</f>
        <v>0.999</v>
      </c>
    </row>
    <row r="112" spans="1:16" ht="16.05" customHeight="1" x14ac:dyDescent="0.4">
      <c r="A112" s="22" t="s">
        <v>18</v>
      </c>
      <c r="B112" s="22" t="s">
        <v>42</v>
      </c>
      <c r="C112" s="22" t="s">
        <v>43</v>
      </c>
      <c r="D112" s="22" t="s">
        <v>7</v>
      </c>
      <c r="G112" s="82" t="s">
        <v>434</v>
      </c>
      <c r="H112" s="82" t="s">
        <v>435</v>
      </c>
      <c r="I112" s="82">
        <v>-0.43</v>
      </c>
      <c r="J112" s="82" t="s">
        <v>121</v>
      </c>
      <c r="L112" s="53"/>
      <c r="M112" s="53"/>
      <c r="N112" s="53" t="s">
        <v>83</v>
      </c>
      <c r="O112" s="54" t="s">
        <v>49</v>
      </c>
      <c r="P112" s="27">
        <f>'[1]Example Crude Property'!D348</f>
        <v>0.622</v>
      </c>
    </row>
    <row r="113" spans="1:16" ht="16.05" customHeight="1" x14ac:dyDescent="0.4">
      <c r="A113" s="30" t="s">
        <v>46</v>
      </c>
      <c r="B113" s="30" t="s">
        <v>160</v>
      </c>
      <c r="C113" s="30" t="s">
        <v>244</v>
      </c>
      <c r="D113" s="30">
        <f>'[1]Key Control'!F61</f>
        <v>141.19999999999999</v>
      </c>
      <c r="G113" s="86" t="s">
        <v>436</v>
      </c>
      <c r="H113" s="86" t="s">
        <v>437</v>
      </c>
      <c r="I113" s="86">
        <v>0.85</v>
      </c>
      <c r="J113" s="86" t="s">
        <v>121</v>
      </c>
      <c r="L113" s="58"/>
      <c r="M113" s="58"/>
      <c r="N113" s="58" t="s">
        <v>91</v>
      </c>
      <c r="O113" s="59" t="s">
        <v>49</v>
      </c>
      <c r="P113" s="27">
        <f>'[1]Example Crude Property'!D351</f>
        <v>1.0999999999999999E-2</v>
      </c>
    </row>
    <row r="114" spans="1:16" ht="17.399999999999999" thickBot="1" x14ac:dyDescent="0.45">
      <c r="A114" s="30" t="s">
        <v>46</v>
      </c>
      <c r="B114" s="30" t="s">
        <v>278</v>
      </c>
      <c r="C114" s="30" t="s">
        <v>438</v>
      </c>
      <c r="D114" s="30">
        <f>'[1]Key Control'!F64</f>
        <v>173.38</v>
      </c>
      <c r="G114" s="82" t="s">
        <v>439</v>
      </c>
      <c r="H114" s="82" t="s">
        <v>440</v>
      </c>
      <c r="I114" s="82"/>
      <c r="J114" s="82"/>
      <c r="P114" s="27"/>
    </row>
    <row r="115" spans="1:16" ht="19.95" customHeight="1" x14ac:dyDescent="0.4">
      <c r="A115" s="30" t="s">
        <v>46</v>
      </c>
      <c r="B115" s="30" t="str">
        <f t="shared" ref="B115:D115" si="9">B51</f>
        <v>1TI225.pv</v>
      </c>
      <c r="C115" s="30" t="str">
        <f t="shared" si="9"/>
        <v>Inlet temp Crude</v>
      </c>
      <c r="D115" s="30">
        <f t="shared" si="9"/>
        <v>95.3</v>
      </c>
      <c r="G115" s="86" t="s">
        <v>441</v>
      </c>
      <c r="H115" s="86" t="s">
        <v>442</v>
      </c>
      <c r="I115" s="86"/>
      <c r="J115" s="86"/>
      <c r="L115" s="8" t="s">
        <v>336</v>
      </c>
      <c r="M115" s="8" t="s">
        <v>443</v>
      </c>
      <c r="N115" s="8"/>
      <c r="O115" s="8"/>
      <c r="P115" s="27"/>
    </row>
    <row r="116" spans="1:16" ht="18" customHeight="1" x14ac:dyDescent="0.4">
      <c r="A116" s="30" t="s">
        <v>401</v>
      </c>
      <c r="B116" s="30" t="s">
        <v>271</v>
      </c>
      <c r="C116" s="30" t="s">
        <v>402</v>
      </c>
      <c r="D116" s="30">
        <f>'[1]Key Control'!F85</f>
        <v>138.94999999999999</v>
      </c>
      <c r="G116" s="82" t="s">
        <v>444</v>
      </c>
      <c r="H116" s="82" t="s">
        <v>445</v>
      </c>
      <c r="I116" s="82">
        <v>105</v>
      </c>
      <c r="J116" s="82" t="s">
        <v>185</v>
      </c>
      <c r="L116" s="17" t="s">
        <v>18</v>
      </c>
      <c r="M116" s="17" t="s">
        <v>19</v>
      </c>
      <c r="N116" s="17" t="s">
        <v>20</v>
      </c>
      <c r="O116" s="17" t="s">
        <v>21</v>
      </c>
      <c r="P116" s="18" t="s">
        <v>7</v>
      </c>
    </row>
    <row r="117" spans="1:16" ht="16.05" customHeight="1" x14ac:dyDescent="0.4">
      <c r="A117" s="30" t="s">
        <v>401</v>
      </c>
      <c r="B117" s="30" t="s">
        <v>308</v>
      </c>
      <c r="C117" s="30" t="s">
        <v>405</v>
      </c>
      <c r="D117" s="30">
        <v>197.98</v>
      </c>
      <c r="G117" s="86" t="s">
        <v>446</v>
      </c>
      <c r="H117" s="86" t="s">
        <v>447</v>
      </c>
      <c r="I117" s="86">
        <v>105</v>
      </c>
      <c r="J117" s="86" t="s">
        <v>185</v>
      </c>
      <c r="L117" s="24" t="s">
        <v>46</v>
      </c>
      <c r="M117" s="25" t="s">
        <v>448</v>
      </c>
      <c r="N117" s="25" t="s">
        <v>48</v>
      </c>
      <c r="O117" s="26" t="s">
        <v>49</v>
      </c>
      <c r="P117" s="27">
        <f>'[1]Example Crude Property'!D42</f>
        <v>38.9</v>
      </c>
    </row>
    <row r="118" spans="1:16" ht="16.05" customHeight="1" x14ac:dyDescent="0.4">
      <c r="A118" s="30" t="s">
        <v>401</v>
      </c>
      <c r="B118" s="30" t="str">
        <f>B100</f>
        <v>439FI003.pv</v>
      </c>
      <c r="C118" s="30" t="str">
        <f t="shared" ref="C118:D118" si="10">C100</f>
        <v>Flow Residue</v>
      </c>
      <c r="D118" s="30">
        <f t="shared" si="10"/>
        <v>188.12</v>
      </c>
      <c r="G118" s="82" t="s">
        <v>449</v>
      </c>
      <c r="H118" s="82" t="s">
        <v>450</v>
      </c>
      <c r="I118" s="82">
        <v>105</v>
      </c>
      <c r="J118" s="82" t="s">
        <v>185</v>
      </c>
      <c r="L118" s="31"/>
      <c r="M118" s="31"/>
      <c r="N118" s="31" t="s">
        <v>65</v>
      </c>
      <c r="O118" s="32" t="s">
        <v>49</v>
      </c>
      <c r="P118" s="27">
        <f>'[1]Example Crude Property'!D54</f>
        <v>0.8306</v>
      </c>
    </row>
    <row r="119" spans="1:16" ht="16.05" customHeight="1" x14ac:dyDescent="0.4">
      <c r="A119" s="30"/>
      <c r="B119" s="30"/>
      <c r="C119" s="30"/>
      <c r="D119" s="30"/>
      <c r="G119" s="86" t="s">
        <v>451</v>
      </c>
      <c r="H119" s="86" t="s">
        <v>452</v>
      </c>
      <c r="I119" s="86">
        <v>100</v>
      </c>
      <c r="J119" s="86" t="s">
        <v>185</v>
      </c>
      <c r="L119" s="31"/>
      <c r="M119" s="31"/>
      <c r="N119" s="31" t="s">
        <v>76</v>
      </c>
      <c r="O119" s="32" t="s">
        <v>49</v>
      </c>
      <c r="P119" s="27">
        <f>'[1]Example Crude Property'!D51</f>
        <v>3.11</v>
      </c>
    </row>
    <row r="120" spans="1:16" ht="16.05" customHeight="1" x14ac:dyDescent="0.4">
      <c r="A120" s="14" t="s">
        <v>453</v>
      </c>
      <c r="B120" s="14" t="s">
        <v>239</v>
      </c>
      <c r="C120" s="14"/>
      <c r="D120" s="14"/>
      <c r="E120" s="15"/>
      <c r="G120" s="82" t="s">
        <v>454</v>
      </c>
      <c r="H120" s="82" t="s">
        <v>455</v>
      </c>
      <c r="I120" s="82">
        <v>100</v>
      </c>
      <c r="J120" s="82" t="s">
        <v>185</v>
      </c>
      <c r="L120" s="31"/>
      <c r="M120" s="31"/>
      <c r="N120" s="31" t="s">
        <v>83</v>
      </c>
      <c r="O120" s="32" t="s">
        <v>49</v>
      </c>
      <c r="P120" s="27">
        <f>'[1]Example Crude Property'!D52</f>
        <v>1.39</v>
      </c>
    </row>
    <row r="121" spans="1:16" ht="16.05" customHeight="1" x14ac:dyDescent="0.4">
      <c r="A121" s="22" t="s">
        <v>18</v>
      </c>
      <c r="B121" s="22" t="s">
        <v>42</v>
      </c>
      <c r="C121" s="22" t="s">
        <v>43</v>
      </c>
      <c r="D121" s="22" t="s">
        <v>7</v>
      </c>
      <c r="G121" s="86" t="s">
        <v>456</v>
      </c>
      <c r="H121" s="86" t="s">
        <v>457</v>
      </c>
      <c r="I121" s="86">
        <v>100</v>
      </c>
      <c r="J121" s="86" t="s">
        <v>185</v>
      </c>
      <c r="L121" s="31"/>
      <c r="M121" s="31"/>
      <c r="N121" s="31" t="s">
        <v>91</v>
      </c>
      <c r="O121" s="32" t="s">
        <v>49</v>
      </c>
      <c r="P121" s="27">
        <f>'[1]Example Crude Property'!D55</f>
        <v>7.7799999999999994E-2</v>
      </c>
    </row>
    <row r="122" spans="1:16" ht="16.05" customHeight="1" x14ac:dyDescent="0.4">
      <c r="A122" s="30" t="s">
        <v>46</v>
      </c>
      <c r="B122" s="30" t="s">
        <v>278</v>
      </c>
      <c r="C122" s="30" t="s">
        <v>458</v>
      </c>
      <c r="D122" s="30">
        <f>'[1]Key Control'!F64</f>
        <v>173.38</v>
      </c>
      <c r="G122" s="82" t="s">
        <v>459</v>
      </c>
      <c r="H122" s="82" t="s">
        <v>460</v>
      </c>
      <c r="I122" s="82">
        <v>-6.9</v>
      </c>
      <c r="J122" s="82" t="s">
        <v>185</v>
      </c>
      <c r="L122" s="31"/>
      <c r="M122" s="31"/>
      <c r="N122" s="31" t="s">
        <v>98</v>
      </c>
      <c r="O122" s="48" t="s">
        <v>99</v>
      </c>
      <c r="P122" s="27">
        <f>'[1]Example Crude Property'!D75</f>
        <v>0.13300000000000001</v>
      </c>
    </row>
    <row r="123" spans="1:16" ht="16.05" customHeight="1" x14ac:dyDescent="0.4">
      <c r="A123" s="30" t="s">
        <v>46</v>
      </c>
      <c r="B123" s="30" t="s">
        <v>273</v>
      </c>
      <c r="C123" s="30" t="s">
        <v>461</v>
      </c>
      <c r="D123" s="30">
        <f>'[1]Key Control'!F67</f>
        <v>183.34</v>
      </c>
      <c r="G123" s="86" t="s">
        <v>462</v>
      </c>
      <c r="H123" s="86" t="s">
        <v>463</v>
      </c>
      <c r="I123" s="86">
        <v>48.4</v>
      </c>
      <c r="J123" s="86" t="s">
        <v>185</v>
      </c>
      <c r="L123" s="52" t="s">
        <v>351</v>
      </c>
      <c r="M123" s="53" t="s">
        <v>464</v>
      </c>
      <c r="N123" s="53" t="s">
        <v>48</v>
      </c>
      <c r="O123" s="54" t="s">
        <v>49</v>
      </c>
      <c r="P123" s="27">
        <f>'[1]Example Crude Property'!D332</f>
        <v>45.2</v>
      </c>
    </row>
    <row r="124" spans="1:16" ht="16.05" customHeight="1" x14ac:dyDescent="0.4">
      <c r="A124" s="30" t="s">
        <v>46</v>
      </c>
      <c r="B124" s="30" t="str">
        <f>B113</f>
        <v>1FI017.pv</v>
      </c>
      <c r="C124" s="30" t="str">
        <f t="shared" ref="C124:D124" si="11">C113</f>
        <v>Inlet flow Crude</v>
      </c>
      <c r="D124" s="30">
        <f t="shared" si="11"/>
        <v>141.19999999999999</v>
      </c>
      <c r="G124" s="82" t="s">
        <v>465</v>
      </c>
      <c r="H124" s="82" t="s">
        <v>466</v>
      </c>
      <c r="I124" s="82">
        <v>37.79</v>
      </c>
      <c r="J124" s="82" t="s">
        <v>185</v>
      </c>
      <c r="L124" s="53"/>
      <c r="M124" s="53"/>
      <c r="N124" s="53" t="s">
        <v>65</v>
      </c>
      <c r="O124" s="54" t="s">
        <v>49</v>
      </c>
      <c r="P124" s="27">
        <f>'[1]Example Crude Property'!D350</f>
        <v>0.80089999999999995</v>
      </c>
    </row>
    <row r="125" spans="1:16" ht="16.05" customHeight="1" x14ac:dyDescent="0.4">
      <c r="A125" s="30" t="s">
        <v>322</v>
      </c>
      <c r="B125" s="30" t="s">
        <v>242</v>
      </c>
      <c r="C125" s="30" t="s">
        <v>467</v>
      </c>
      <c r="D125" s="30">
        <f>'[1]Key Control'!F87</f>
        <v>196.46</v>
      </c>
      <c r="G125" s="86" t="s">
        <v>468</v>
      </c>
      <c r="H125" s="86" t="s">
        <v>469</v>
      </c>
      <c r="I125" s="86"/>
      <c r="J125" s="86" t="s">
        <v>470</v>
      </c>
      <c r="L125" s="53"/>
      <c r="M125" s="53"/>
      <c r="N125" s="53" t="s">
        <v>76</v>
      </c>
      <c r="O125" s="54" t="s">
        <v>49</v>
      </c>
      <c r="P125" s="27">
        <f>'[1]Example Crude Property'!D347</f>
        <v>0.999</v>
      </c>
    </row>
    <row r="126" spans="1:16" ht="16.05" customHeight="1" x14ac:dyDescent="0.4">
      <c r="A126" s="30" t="s">
        <v>322</v>
      </c>
      <c r="B126" s="30" t="s">
        <v>280</v>
      </c>
      <c r="C126" s="30" t="s">
        <v>471</v>
      </c>
      <c r="D126" s="30">
        <f>'[1]Key Control'!F88</f>
        <v>184.64</v>
      </c>
      <c r="G126" s="82" t="s">
        <v>472</v>
      </c>
      <c r="H126" s="82" t="s">
        <v>473</v>
      </c>
      <c r="I126" s="82">
        <v>0.66</v>
      </c>
      <c r="J126" s="82" t="s">
        <v>470</v>
      </c>
      <c r="L126" s="53"/>
      <c r="M126" s="53"/>
      <c r="N126" s="53" t="s">
        <v>83</v>
      </c>
      <c r="O126" s="54" t="s">
        <v>49</v>
      </c>
      <c r="P126" s="27">
        <f>'[1]Example Crude Property'!D348</f>
        <v>0.622</v>
      </c>
    </row>
    <row r="127" spans="1:16" ht="16.05" customHeight="1" x14ac:dyDescent="0.4">
      <c r="A127" s="30" t="s">
        <v>322</v>
      </c>
      <c r="B127" s="30" t="s">
        <v>104</v>
      </c>
      <c r="C127" s="30" t="s">
        <v>474</v>
      </c>
      <c r="D127" s="30">
        <f>'[1]Key Control'!F89</f>
        <v>136.4</v>
      </c>
      <c r="G127" s="86" t="s">
        <v>475</v>
      </c>
      <c r="H127" s="86" t="s">
        <v>476</v>
      </c>
      <c r="I127" s="86">
        <v>0</v>
      </c>
      <c r="J127" s="86" t="s">
        <v>477</v>
      </c>
      <c r="L127" s="58"/>
      <c r="M127" s="58"/>
      <c r="N127" s="58" t="s">
        <v>91</v>
      </c>
      <c r="O127" s="59" t="s">
        <v>49</v>
      </c>
      <c r="P127" s="27">
        <f>'[1]Example Crude Property'!D351</f>
        <v>1.0999999999999999E-2</v>
      </c>
    </row>
    <row r="128" spans="1:16" ht="6" customHeight="1" thickBot="1" x14ac:dyDescent="0.45">
      <c r="A128" s="30"/>
      <c r="B128" s="30"/>
      <c r="C128" s="30"/>
      <c r="D128" s="30"/>
      <c r="G128" s="82" t="s">
        <v>478</v>
      </c>
      <c r="H128" s="82" t="s">
        <v>479</v>
      </c>
      <c r="I128" s="82"/>
      <c r="J128" s="82" t="s">
        <v>470</v>
      </c>
      <c r="P128" s="27"/>
    </row>
    <row r="129" spans="1:16" ht="19.95" customHeight="1" x14ac:dyDescent="0.4">
      <c r="A129" s="14" t="s">
        <v>480</v>
      </c>
      <c r="B129" s="14" t="s">
        <v>239</v>
      </c>
      <c r="C129" s="14"/>
      <c r="D129" s="14"/>
      <c r="E129" s="15"/>
      <c r="G129" s="86" t="s">
        <v>481</v>
      </c>
      <c r="H129" s="86" t="s">
        <v>482</v>
      </c>
      <c r="I129" s="86">
        <v>3.24</v>
      </c>
      <c r="J129" s="86" t="s">
        <v>477</v>
      </c>
      <c r="L129" s="8" t="s">
        <v>363</v>
      </c>
      <c r="M129" s="8" t="s">
        <v>483</v>
      </c>
      <c r="N129" s="8"/>
      <c r="O129" s="8"/>
      <c r="P129" s="27"/>
    </row>
    <row r="130" spans="1:16" ht="18" customHeight="1" x14ac:dyDescent="0.4">
      <c r="A130" s="22" t="s">
        <v>18</v>
      </c>
      <c r="B130" s="22" t="s">
        <v>42</v>
      </c>
      <c r="C130" s="22" t="s">
        <v>43</v>
      </c>
      <c r="D130" s="22" t="s">
        <v>7</v>
      </c>
      <c r="G130" s="86" t="s">
        <v>484</v>
      </c>
      <c r="H130" s="86" t="s">
        <v>485</v>
      </c>
      <c r="I130" s="86">
        <v>48.139000000000003</v>
      </c>
      <c r="J130" s="86" t="s">
        <v>486</v>
      </c>
      <c r="L130" s="17" t="s">
        <v>18</v>
      </c>
      <c r="M130" s="17" t="s">
        <v>19</v>
      </c>
      <c r="N130" s="17" t="s">
        <v>20</v>
      </c>
      <c r="O130" s="17" t="s">
        <v>21</v>
      </c>
      <c r="P130" s="18" t="s">
        <v>7</v>
      </c>
    </row>
    <row r="131" spans="1:16" ht="16.05" customHeight="1" x14ac:dyDescent="0.4">
      <c r="A131" s="30" t="s">
        <v>46</v>
      </c>
      <c r="B131" s="30" t="s">
        <v>273</v>
      </c>
      <c r="C131" s="30" t="s">
        <v>487</v>
      </c>
      <c r="D131" s="30">
        <f>'[1]Key Control'!F67</f>
        <v>183.34</v>
      </c>
      <c r="G131" s="88" t="s">
        <v>488</v>
      </c>
      <c r="H131" s="88" t="s">
        <v>489</v>
      </c>
      <c r="I131" s="88">
        <v>45.536000000000001</v>
      </c>
      <c r="J131" s="88" t="s">
        <v>486</v>
      </c>
      <c r="L131" s="24" t="s">
        <v>46</v>
      </c>
      <c r="M131" s="25" t="s">
        <v>490</v>
      </c>
      <c r="N131" s="25" t="s">
        <v>48</v>
      </c>
      <c r="O131" s="26" t="s">
        <v>49</v>
      </c>
      <c r="P131" s="27">
        <f>'[1]Example Crude Property'!D42</f>
        <v>38.9</v>
      </c>
    </row>
    <row r="132" spans="1:16" ht="16.05" customHeight="1" x14ac:dyDescent="0.4">
      <c r="A132" s="30" t="s">
        <v>46</v>
      </c>
      <c r="B132" s="30" t="s">
        <v>283</v>
      </c>
      <c r="C132" s="30" t="s">
        <v>416</v>
      </c>
      <c r="D132" s="30">
        <f>'[1]Key Control'!F71</f>
        <v>243</v>
      </c>
      <c r="G132" s="30"/>
      <c r="H132" s="30"/>
      <c r="I132" s="30"/>
      <c r="J132" s="30"/>
      <c r="L132" s="31"/>
      <c r="M132" s="31"/>
      <c r="N132" s="31" t="s">
        <v>65</v>
      </c>
      <c r="O132" s="32" t="s">
        <v>49</v>
      </c>
      <c r="P132" s="27">
        <f>'[1]Example Crude Property'!D54</f>
        <v>0.8306</v>
      </c>
    </row>
    <row r="133" spans="1:16" ht="16.05" customHeight="1" x14ac:dyDescent="0.45">
      <c r="A133" s="30" t="s">
        <v>46</v>
      </c>
      <c r="B133" s="30" t="str">
        <f t="shared" ref="B133:D133" si="12">B113</f>
        <v>1FI017.pv</v>
      </c>
      <c r="C133" s="30" t="str">
        <f t="shared" si="12"/>
        <v>Inlet flow Crude</v>
      </c>
      <c r="D133" s="30">
        <f t="shared" si="12"/>
        <v>141.19999999999999</v>
      </c>
      <c r="G133" s="89" t="s">
        <v>491</v>
      </c>
      <c r="H133" s="90"/>
      <c r="I133" s="90"/>
      <c r="J133" s="91"/>
      <c r="L133" s="31"/>
      <c r="M133" s="31"/>
      <c r="N133" s="31" t="s">
        <v>76</v>
      </c>
      <c r="O133" s="32" t="s">
        <v>49</v>
      </c>
      <c r="P133" s="27">
        <f>'[1]Example Crude Property'!D51</f>
        <v>3.11</v>
      </c>
    </row>
    <row r="134" spans="1:16" ht="16.05" customHeight="1" x14ac:dyDescent="0.4">
      <c r="A134" s="30" t="s">
        <v>401</v>
      </c>
      <c r="B134" s="30" t="s">
        <v>286</v>
      </c>
      <c r="C134" s="30" t="s">
        <v>402</v>
      </c>
      <c r="D134" s="30">
        <f>'[1]Key Control'!F82</f>
        <v>35.36</v>
      </c>
      <c r="G134" s="92" t="s">
        <v>492</v>
      </c>
      <c r="H134" s="92" t="s">
        <v>493</v>
      </c>
      <c r="I134" s="92" t="s">
        <v>494</v>
      </c>
      <c r="J134" s="92" t="s">
        <v>7</v>
      </c>
      <c r="L134" s="31"/>
      <c r="M134" s="31"/>
      <c r="N134" s="31" t="s">
        <v>83</v>
      </c>
      <c r="O134" s="32" t="s">
        <v>49</v>
      </c>
      <c r="P134" s="27">
        <f>'[1]Example Crude Property'!D52</f>
        <v>1.39</v>
      </c>
    </row>
    <row r="135" spans="1:16" ht="16.05" customHeight="1" x14ac:dyDescent="0.4">
      <c r="A135" s="30" t="s">
        <v>401</v>
      </c>
      <c r="B135" s="30" t="s">
        <v>264</v>
      </c>
      <c r="C135" s="30" t="s">
        <v>495</v>
      </c>
      <c r="D135" s="30">
        <v>280.13</v>
      </c>
      <c r="G135" s="93" t="s">
        <v>496</v>
      </c>
      <c r="H135" s="93" t="s">
        <v>497</v>
      </c>
      <c r="I135" s="93" t="s">
        <v>152</v>
      </c>
      <c r="J135" s="93">
        <v>235.4</v>
      </c>
      <c r="L135" s="31"/>
      <c r="M135" s="31"/>
      <c r="N135" s="31" t="s">
        <v>91</v>
      </c>
      <c r="O135" s="32" t="s">
        <v>49</v>
      </c>
      <c r="P135" s="27">
        <f>'[1]Example Crude Property'!D55</f>
        <v>7.7799999999999994E-2</v>
      </c>
    </row>
    <row r="136" spans="1:16" ht="16.05" customHeight="1" x14ac:dyDescent="0.4">
      <c r="A136" s="30" t="s">
        <v>401</v>
      </c>
      <c r="B136" s="30" t="str">
        <f t="shared" ref="B136:D136" si="13">B118</f>
        <v>439FI003.pv</v>
      </c>
      <c r="C136" s="30" t="str">
        <f t="shared" si="13"/>
        <v>Flow Residue</v>
      </c>
      <c r="D136" s="30">
        <f t="shared" si="13"/>
        <v>188.12</v>
      </c>
      <c r="G136" s="93" t="s">
        <v>498</v>
      </c>
      <c r="H136" s="93" t="s">
        <v>499</v>
      </c>
      <c r="I136" s="93" t="s">
        <v>156</v>
      </c>
      <c r="J136" s="93">
        <v>154.5</v>
      </c>
      <c r="L136" s="52" t="s">
        <v>375</v>
      </c>
      <c r="M136" s="53" t="s">
        <v>500</v>
      </c>
      <c r="N136" s="53" t="s">
        <v>48</v>
      </c>
      <c r="O136" s="54" t="s">
        <v>49</v>
      </c>
      <c r="P136" s="27">
        <f>'[1]Example Crude Property'!D455</f>
        <v>36.200000000000003</v>
      </c>
    </row>
    <row r="137" spans="1:16" ht="16.05" customHeight="1" x14ac:dyDescent="0.4">
      <c r="A137" s="30"/>
      <c r="B137" s="30"/>
      <c r="C137" s="30"/>
      <c r="D137" s="30"/>
      <c r="G137" s="93" t="s">
        <v>501</v>
      </c>
      <c r="H137" s="93" t="s">
        <v>502</v>
      </c>
      <c r="I137" s="93" t="s">
        <v>160</v>
      </c>
      <c r="J137" s="93">
        <v>141.19999999999999</v>
      </c>
      <c r="L137" s="53"/>
      <c r="M137" s="53"/>
      <c r="N137" s="53" t="s">
        <v>65</v>
      </c>
      <c r="O137" s="54" t="s">
        <v>49</v>
      </c>
      <c r="P137" s="27">
        <f>'[1]Example Crude Property'!D473</f>
        <v>0.84370000000000001</v>
      </c>
    </row>
    <row r="138" spans="1:16" ht="16.05" customHeight="1" x14ac:dyDescent="0.4">
      <c r="A138" s="14" t="s">
        <v>503</v>
      </c>
      <c r="B138" s="14" t="s">
        <v>239</v>
      </c>
      <c r="C138" s="14"/>
      <c r="D138" s="14"/>
      <c r="E138" s="15"/>
      <c r="L138" s="53"/>
      <c r="M138" s="53"/>
      <c r="N138" s="53" t="s">
        <v>76</v>
      </c>
      <c r="O138" s="54" t="s">
        <v>49</v>
      </c>
      <c r="P138" s="27">
        <f>'[1]Example Crude Property'!D470</f>
        <v>2.62</v>
      </c>
    </row>
    <row r="139" spans="1:16" ht="16.05" customHeight="1" x14ac:dyDescent="0.4">
      <c r="A139" s="22" t="s">
        <v>18</v>
      </c>
      <c r="B139" s="22" t="s">
        <v>42</v>
      </c>
      <c r="C139" s="22" t="s">
        <v>43</v>
      </c>
      <c r="D139" s="22" t="s">
        <v>7</v>
      </c>
      <c r="L139" s="53"/>
      <c r="M139" s="53"/>
      <c r="N139" s="53" t="s">
        <v>83</v>
      </c>
      <c r="O139" s="54" t="s">
        <v>49</v>
      </c>
      <c r="P139" s="27">
        <f>'[1]Example Crude Property'!D471</f>
        <v>1.25</v>
      </c>
    </row>
    <row r="140" spans="1:16" ht="16.05" customHeight="1" x14ac:dyDescent="0.4">
      <c r="A140" s="64" t="s">
        <v>46</v>
      </c>
      <c r="B140" s="64" t="s">
        <v>273</v>
      </c>
      <c r="C140" s="64" t="s">
        <v>487</v>
      </c>
      <c r="D140" s="64">
        <f>'[1]Key Control'!F67</f>
        <v>183.34</v>
      </c>
      <c r="L140" s="53"/>
      <c r="M140" s="53"/>
      <c r="N140" s="53" t="s">
        <v>91</v>
      </c>
      <c r="O140" s="54" t="s">
        <v>49</v>
      </c>
      <c r="P140" s="27">
        <f>'[1]Example Crude Property'!D474</f>
        <v>6.3700000000000007E-2</v>
      </c>
    </row>
    <row r="141" spans="1:16" ht="16.05" customHeight="1" x14ac:dyDescent="0.4">
      <c r="A141" s="64" t="s">
        <v>46</v>
      </c>
      <c r="B141" s="64" t="s">
        <v>245</v>
      </c>
      <c r="C141" s="64" t="s">
        <v>416</v>
      </c>
      <c r="D141" s="64">
        <f>'[1]Key Control'!F72</f>
        <v>241.93</v>
      </c>
      <c r="L141" s="58"/>
      <c r="M141" s="58"/>
      <c r="N141" s="58" t="s">
        <v>98</v>
      </c>
      <c r="O141" s="94" t="s">
        <v>99</v>
      </c>
      <c r="P141" s="50"/>
    </row>
    <row r="142" spans="1:16" ht="17.399999999999999" thickBot="1" x14ac:dyDescent="0.45">
      <c r="A142" s="64" t="str">
        <f t="shared" ref="A142:D142" si="14">A113</f>
        <v>Cold (Crude)</v>
      </c>
      <c r="B142" s="64" t="str">
        <f t="shared" si="14"/>
        <v>1FI017.pv</v>
      </c>
      <c r="C142" s="64" t="str">
        <f t="shared" si="14"/>
        <v>Inlet flow Crude</v>
      </c>
      <c r="D142" s="64">
        <f t="shared" si="14"/>
        <v>141.19999999999999</v>
      </c>
      <c r="P142" s="27"/>
    </row>
    <row r="143" spans="1:16" ht="19.95" customHeight="1" x14ac:dyDescent="0.4">
      <c r="A143" s="64" t="s">
        <v>401</v>
      </c>
      <c r="B143" s="64" t="s">
        <v>267</v>
      </c>
      <c r="C143" s="64" t="s">
        <v>402</v>
      </c>
      <c r="D143" s="64">
        <f>'[1]Key Control'!F80</f>
        <v>231.78</v>
      </c>
      <c r="L143" s="95" t="s">
        <v>504</v>
      </c>
      <c r="M143" s="95" t="s">
        <v>505</v>
      </c>
      <c r="N143" s="95"/>
      <c r="O143" s="95"/>
      <c r="P143" s="27"/>
    </row>
    <row r="144" spans="1:16" ht="18" customHeight="1" x14ac:dyDescent="0.4">
      <c r="A144" s="64" t="s">
        <v>401</v>
      </c>
      <c r="B144" s="64" t="str">
        <f t="shared" ref="B144:D145" si="15">B135</f>
        <v>1TI117.pv</v>
      </c>
      <c r="C144" s="64" t="str">
        <f t="shared" si="15"/>
        <v>Inlet temp Residue</v>
      </c>
      <c r="D144" s="64">
        <f t="shared" si="15"/>
        <v>280.13</v>
      </c>
      <c r="L144" s="17" t="s">
        <v>18</v>
      </c>
      <c r="M144" s="17" t="s">
        <v>19</v>
      </c>
      <c r="N144" s="17" t="s">
        <v>20</v>
      </c>
      <c r="O144" s="17" t="s">
        <v>21</v>
      </c>
      <c r="P144" s="18" t="s">
        <v>7</v>
      </c>
    </row>
    <row r="145" spans="1:16" ht="16.05" customHeight="1" x14ac:dyDescent="0.4">
      <c r="A145" s="64" t="s">
        <v>401</v>
      </c>
      <c r="B145" s="64" t="str">
        <f t="shared" si="15"/>
        <v>439FI003.pv</v>
      </c>
      <c r="C145" s="64" t="str">
        <f t="shared" si="15"/>
        <v>Flow Residue</v>
      </c>
      <c r="D145" s="64">
        <f t="shared" si="15"/>
        <v>188.12</v>
      </c>
      <c r="L145" s="24" t="s">
        <v>46</v>
      </c>
      <c r="M145" s="25" t="s">
        <v>506</v>
      </c>
      <c r="N145" s="25" t="s">
        <v>48</v>
      </c>
      <c r="O145" s="26" t="s">
        <v>49</v>
      </c>
      <c r="P145" s="27">
        <f>'[1]Example Crude Property'!D42</f>
        <v>38.9</v>
      </c>
    </row>
    <row r="146" spans="1:16" ht="16.05" customHeight="1" x14ac:dyDescent="0.4">
      <c r="A146" s="30"/>
      <c r="B146" s="30"/>
      <c r="C146" s="30"/>
      <c r="D146" s="30"/>
      <c r="L146" s="31"/>
      <c r="M146" s="31"/>
      <c r="N146" s="31" t="s">
        <v>65</v>
      </c>
      <c r="O146" s="32" t="s">
        <v>49</v>
      </c>
      <c r="P146" s="27">
        <f>'[1]Example Crude Property'!D54</f>
        <v>0.8306</v>
      </c>
    </row>
    <row r="147" spans="1:16" ht="16.05" customHeight="1" x14ac:dyDescent="0.4">
      <c r="A147" s="14" t="s">
        <v>507</v>
      </c>
      <c r="B147" s="14" t="s">
        <v>239</v>
      </c>
      <c r="C147" s="14"/>
      <c r="D147" s="14"/>
      <c r="E147" s="15"/>
      <c r="L147" s="31"/>
      <c r="M147" s="31"/>
      <c r="N147" s="31" t="s">
        <v>76</v>
      </c>
      <c r="O147" s="32" t="s">
        <v>49</v>
      </c>
      <c r="P147" s="27">
        <f>'[1]Example Crude Property'!D51</f>
        <v>3.11</v>
      </c>
    </row>
    <row r="148" spans="1:16" ht="16.05" customHeight="1" x14ac:dyDescent="0.4">
      <c r="A148" s="22" t="s">
        <v>18</v>
      </c>
      <c r="B148" s="22" t="s">
        <v>42</v>
      </c>
      <c r="C148" s="22" t="s">
        <v>43</v>
      </c>
      <c r="D148" s="22" t="s">
        <v>7</v>
      </c>
      <c r="L148" s="31"/>
      <c r="M148" s="31"/>
      <c r="N148" s="31" t="s">
        <v>83</v>
      </c>
      <c r="O148" s="32" t="s">
        <v>49</v>
      </c>
      <c r="P148" s="27">
        <f>'[1]Example Crude Property'!D52</f>
        <v>1.39</v>
      </c>
    </row>
    <row r="149" spans="1:16" ht="16.05" customHeight="1" x14ac:dyDescent="0.4">
      <c r="A149" s="30" t="s">
        <v>46</v>
      </c>
      <c r="B149" s="30" t="s">
        <v>251</v>
      </c>
      <c r="C149" s="30" t="s">
        <v>250</v>
      </c>
      <c r="D149" s="30">
        <f>'[1]Key Control'!F73</f>
        <v>239.22</v>
      </c>
      <c r="L149" s="31"/>
      <c r="M149" s="31"/>
      <c r="N149" s="31" t="s">
        <v>91</v>
      </c>
      <c r="O149" s="32" t="s">
        <v>49</v>
      </c>
      <c r="P149" s="27">
        <f>'[1]Example Crude Property'!D55</f>
        <v>7.7799999999999994E-2</v>
      </c>
    </row>
    <row r="150" spans="1:16" ht="16.05" customHeight="1" x14ac:dyDescent="0.4">
      <c r="A150" s="30" t="s">
        <v>46</v>
      </c>
      <c r="B150" s="30" t="s">
        <v>255</v>
      </c>
      <c r="C150" s="30" t="s">
        <v>508</v>
      </c>
      <c r="D150" s="80">
        <f>'[1]Key Control'!F74</f>
        <v>258.05</v>
      </c>
      <c r="L150" s="31"/>
      <c r="M150" s="31"/>
      <c r="N150" s="31" t="s">
        <v>509</v>
      </c>
      <c r="O150" s="48" t="s">
        <v>510</v>
      </c>
      <c r="P150" s="27">
        <f>'[1]Example Crude Property'!D75</f>
        <v>0.13300000000000001</v>
      </c>
    </row>
    <row r="151" spans="1:16" ht="16.05" customHeight="1" x14ac:dyDescent="0.4">
      <c r="A151" s="30" t="s">
        <v>46</v>
      </c>
      <c r="B151" s="30" t="s">
        <v>511</v>
      </c>
      <c r="C151" s="30" t="s">
        <v>512</v>
      </c>
      <c r="D151" s="30">
        <f>D77+D113+D50</f>
        <v>531.1</v>
      </c>
      <c r="L151" s="31"/>
      <c r="M151" s="31"/>
      <c r="N151" s="31" t="s">
        <v>513</v>
      </c>
      <c r="O151" s="48" t="s">
        <v>510</v>
      </c>
      <c r="P151" s="27">
        <f>'[1]Example Crude Property'!D47</f>
        <v>0.82699999999999996</v>
      </c>
    </row>
    <row r="152" spans="1:16" ht="16.05" customHeight="1" x14ac:dyDescent="0.4">
      <c r="A152" s="30" t="s">
        <v>46</v>
      </c>
      <c r="B152" s="30" t="s">
        <v>197</v>
      </c>
      <c r="C152" s="30" t="s">
        <v>514</v>
      </c>
      <c r="D152" s="30">
        <f>'[1]Key Control'!F75</f>
        <v>18.170000000000002</v>
      </c>
      <c r="L152" s="31"/>
      <c r="M152" s="31"/>
      <c r="N152" s="31" t="s">
        <v>114</v>
      </c>
      <c r="O152" s="48" t="s">
        <v>99</v>
      </c>
      <c r="P152" s="50"/>
    </row>
    <row r="153" spans="1:16" ht="16.05" customHeight="1" x14ac:dyDescent="0.4">
      <c r="A153" s="30" t="s">
        <v>401</v>
      </c>
      <c r="B153" s="30" t="s">
        <v>201</v>
      </c>
      <c r="C153" s="30" t="s">
        <v>515</v>
      </c>
      <c r="D153" s="30">
        <f>'[1]Key Control'!F76</f>
        <v>7.63</v>
      </c>
      <c r="L153" s="52" t="s">
        <v>401</v>
      </c>
      <c r="M153" s="53" t="s">
        <v>516</v>
      </c>
      <c r="N153" s="53" t="s">
        <v>65</v>
      </c>
      <c r="O153" s="54" t="s">
        <v>49</v>
      </c>
      <c r="P153" s="27">
        <f>'[1]Example Crude Property'!D694</f>
        <v>0.88759999999999994</v>
      </c>
    </row>
    <row r="154" spans="1:16" ht="16.05" customHeight="1" x14ac:dyDescent="0.4">
      <c r="A154" s="30" t="s">
        <v>401</v>
      </c>
      <c r="B154" s="30" t="s">
        <v>204</v>
      </c>
      <c r="C154" s="30" t="s">
        <v>517</v>
      </c>
      <c r="D154" s="30">
        <f>'[1]Key Control'!F78</f>
        <v>6.14</v>
      </c>
      <c r="L154" s="53"/>
      <c r="M154" s="53"/>
      <c r="N154" s="53" t="s">
        <v>76</v>
      </c>
      <c r="O154" s="54" t="s">
        <v>49</v>
      </c>
      <c r="P154" s="27">
        <f>'[1]Example Crude Property'!D691</f>
        <v>40.299999999999997</v>
      </c>
    </row>
    <row r="155" spans="1:16" ht="16.05" customHeight="1" x14ac:dyDescent="0.4">
      <c r="A155" s="30" t="s">
        <v>401</v>
      </c>
      <c r="B155" s="30" t="s">
        <v>264</v>
      </c>
      <c r="C155" s="30" t="s">
        <v>402</v>
      </c>
      <c r="D155" s="30">
        <f>'[1]Key Control'!F77</f>
        <v>280.13</v>
      </c>
      <c r="L155" s="53"/>
      <c r="M155" s="53"/>
      <c r="N155" s="53" t="s">
        <v>83</v>
      </c>
      <c r="O155" s="54" t="s">
        <v>49</v>
      </c>
      <c r="P155" s="27">
        <f>'[1]Example Crude Property'!D692</f>
        <v>8.6300000000000008</v>
      </c>
    </row>
    <row r="156" spans="1:16" ht="16.05" customHeight="1" x14ac:dyDescent="0.4">
      <c r="A156" s="30" t="s">
        <v>401</v>
      </c>
      <c r="B156" s="30" t="s">
        <v>369</v>
      </c>
      <c r="C156" s="30" t="s">
        <v>518</v>
      </c>
      <c r="D156" s="30">
        <f>'[1]Key Control'!F79</f>
        <v>332.24</v>
      </c>
      <c r="L156" s="53"/>
      <c r="M156" s="53"/>
      <c r="N156" s="53" t="s">
        <v>91</v>
      </c>
      <c r="O156" s="54" t="s">
        <v>49</v>
      </c>
      <c r="P156" s="27">
        <f>'[1]Example Crude Property'!D695</f>
        <v>0.14000000000000001</v>
      </c>
    </row>
    <row r="157" spans="1:16" ht="16.05" customHeight="1" x14ac:dyDescent="0.4">
      <c r="A157" s="30" t="str">
        <f t="shared" ref="A157:D157" si="16">A145</f>
        <v>Hot (Residue)</v>
      </c>
      <c r="B157" s="30" t="str">
        <f t="shared" si="16"/>
        <v>439FI003.pv</v>
      </c>
      <c r="C157" s="30" t="str">
        <f t="shared" si="16"/>
        <v>Flow Residue</v>
      </c>
      <c r="D157" s="30">
        <f t="shared" si="16"/>
        <v>188.12</v>
      </c>
      <c r="L157" s="53"/>
      <c r="M157" s="53"/>
      <c r="N157" s="53" t="s">
        <v>509</v>
      </c>
      <c r="O157" s="96" t="s">
        <v>510</v>
      </c>
      <c r="P157" s="27">
        <f>'[1]Example Crude Property'!D714</f>
        <v>0.37</v>
      </c>
    </row>
    <row r="158" spans="1:16" x14ac:dyDescent="0.4">
      <c r="A158" s="30"/>
      <c r="B158" s="30"/>
      <c r="C158" s="30"/>
      <c r="D158" s="30"/>
      <c r="L158" s="58"/>
      <c r="M158" s="58"/>
      <c r="N158" s="58" t="s">
        <v>513</v>
      </c>
      <c r="O158" s="94" t="s">
        <v>510</v>
      </c>
      <c r="P158" s="27">
        <f>'[1]Example Crude Property'!D686</f>
        <v>2.31</v>
      </c>
    </row>
    <row r="159" spans="1:16" ht="17.399999999999999" thickBot="1" x14ac:dyDescent="0.45">
      <c r="A159" s="14" t="s">
        <v>519</v>
      </c>
      <c r="B159" s="14" t="s">
        <v>520</v>
      </c>
      <c r="C159" s="14"/>
      <c r="D159" s="14"/>
      <c r="E159" s="15"/>
      <c r="P159" s="27"/>
    </row>
    <row r="160" spans="1:16" ht="19.95" customHeight="1" x14ac:dyDescent="0.4">
      <c r="A160" s="22" t="s">
        <v>18</v>
      </c>
      <c r="B160" s="22" t="s">
        <v>42</v>
      </c>
      <c r="C160" s="22" t="s">
        <v>43</v>
      </c>
      <c r="D160" s="22" t="s">
        <v>7</v>
      </c>
      <c r="L160" s="8" t="s">
        <v>410</v>
      </c>
      <c r="M160" s="8" t="s">
        <v>521</v>
      </c>
      <c r="N160" s="8"/>
      <c r="O160" s="8"/>
      <c r="P160" s="27"/>
    </row>
    <row r="161" spans="1:16" ht="18" customHeight="1" x14ac:dyDescent="0.4">
      <c r="A161" s="30" t="s">
        <v>522</v>
      </c>
      <c r="B161" s="30" t="s">
        <v>387</v>
      </c>
      <c r="C161" s="30" t="s">
        <v>523</v>
      </c>
      <c r="D161" s="97">
        <f>'[1]Key Control'!F126</f>
        <v>39.86</v>
      </c>
      <c r="L161" s="17" t="s">
        <v>18</v>
      </c>
      <c r="M161" s="17" t="s">
        <v>19</v>
      </c>
      <c r="N161" s="17" t="s">
        <v>20</v>
      </c>
      <c r="O161" s="17" t="s">
        <v>21</v>
      </c>
      <c r="P161" s="18" t="s">
        <v>7</v>
      </c>
    </row>
    <row r="162" spans="1:16" ht="16.05" customHeight="1" x14ac:dyDescent="0.4">
      <c r="A162" s="30" t="s">
        <v>522</v>
      </c>
      <c r="B162" s="30" t="s">
        <v>380</v>
      </c>
      <c r="C162" s="30" t="s">
        <v>524</v>
      </c>
      <c r="D162" s="97">
        <f>'[1]Key Control'!F127</f>
        <v>227.74</v>
      </c>
      <c r="L162" s="24" t="s">
        <v>46</v>
      </c>
      <c r="M162" s="25" t="s">
        <v>525</v>
      </c>
      <c r="N162" s="25" t="s">
        <v>48</v>
      </c>
      <c r="O162" s="26" t="s">
        <v>49</v>
      </c>
      <c r="P162" s="27">
        <f>'[1]Example Crude Property'!D42</f>
        <v>38.9</v>
      </c>
    </row>
    <row r="163" spans="1:16" ht="16.05" customHeight="1" x14ac:dyDescent="0.4">
      <c r="A163" s="30" t="s">
        <v>526</v>
      </c>
      <c r="B163" s="30" t="s">
        <v>396</v>
      </c>
      <c r="C163" s="30" t="s">
        <v>527</v>
      </c>
      <c r="D163" s="97">
        <f>'[1]Key Control'!F130</f>
        <v>154.88</v>
      </c>
      <c r="L163" s="31"/>
      <c r="M163" s="31"/>
      <c r="N163" s="31" t="s">
        <v>65</v>
      </c>
      <c r="O163" s="32" t="s">
        <v>49</v>
      </c>
      <c r="P163" s="27">
        <f>'[1]Example Crude Property'!D54</f>
        <v>0.8306</v>
      </c>
    </row>
    <row r="164" spans="1:16" ht="16.05" customHeight="1" x14ac:dyDescent="0.4">
      <c r="A164" s="30" t="s">
        <v>528</v>
      </c>
      <c r="B164" s="30" t="s">
        <v>529</v>
      </c>
      <c r="C164" s="30" t="s">
        <v>530</v>
      </c>
      <c r="D164" s="30">
        <v>324.27999999999997</v>
      </c>
      <c r="L164" s="31"/>
      <c r="M164" s="31"/>
      <c r="N164" s="31" t="s">
        <v>76</v>
      </c>
      <c r="O164" s="32" t="s">
        <v>49</v>
      </c>
      <c r="P164" s="27">
        <f>'[1]Example Crude Property'!D51</f>
        <v>3.11</v>
      </c>
    </row>
    <row r="165" spans="1:16" ht="16.05" customHeight="1" x14ac:dyDescent="0.4">
      <c r="L165" s="31"/>
      <c r="M165" s="31"/>
      <c r="N165" s="31" t="s">
        <v>83</v>
      </c>
      <c r="O165" s="32" t="s">
        <v>49</v>
      </c>
      <c r="P165" s="27">
        <f>'[1]Example Crude Property'!D52</f>
        <v>1.39</v>
      </c>
    </row>
    <row r="166" spans="1:16" ht="16.05" customHeight="1" x14ac:dyDescent="0.4">
      <c r="A166" s="98" t="s">
        <v>531</v>
      </c>
      <c r="B166" s="98" t="s">
        <v>532</v>
      </c>
      <c r="C166" s="98"/>
      <c r="D166" s="98"/>
      <c r="L166" s="31"/>
      <c r="M166" s="31"/>
      <c r="N166" s="31" t="s">
        <v>91</v>
      </c>
      <c r="O166" s="32" t="s">
        <v>49</v>
      </c>
      <c r="P166" s="27">
        <f>'[1]Example Crude Property'!D55</f>
        <v>7.7799999999999994E-2</v>
      </c>
    </row>
    <row r="167" spans="1:16" ht="16.05" customHeight="1" x14ac:dyDescent="0.4">
      <c r="A167" s="99" t="s">
        <v>18</v>
      </c>
      <c r="B167" s="99" t="s">
        <v>42</v>
      </c>
      <c r="C167" s="99" t="s">
        <v>43</v>
      </c>
      <c r="D167" s="99" t="s">
        <v>7</v>
      </c>
      <c r="L167" s="31"/>
      <c r="M167" s="31"/>
      <c r="N167" s="31" t="s">
        <v>509</v>
      </c>
      <c r="O167" s="48" t="s">
        <v>510</v>
      </c>
      <c r="P167" s="27">
        <f>'[1]Example Crude Property'!D75</f>
        <v>0.13300000000000001</v>
      </c>
    </row>
    <row r="168" spans="1:16" ht="16.05" customHeight="1" x14ac:dyDescent="0.4">
      <c r="A168" s="30" t="s">
        <v>533</v>
      </c>
      <c r="B168" s="30" t="s">
        <v>255</v>
      </c>
      <c r="C168" s="30" t="s">
        <v>534</v>
      </c>
      <c r="D168" s="97">
        <f>'[1]Key Control'!F102</f>
        <v>258.05</v>
      </c>
      <c r="L168" s="52" t="s">
        <v>375</v>
      </c>
      <c r="M168" s="53" t="s">
        <v>535</v>
      </c>
      <c r="N168" s="53" t="s">
        <v>48</v>
      </c>
      <c r="O168" s="54" t="s">
        <v>49</v>
      </c>
      <c r="P168" s="27">
        <f>'[1]Example Crude Property'!D393</f>
        <v>35.700000000000003</v>
      </c>
    </row>
    <row r="169" spans="1:16" ht="16.05" customHeight="1" x14ac:dyDescent="0.4">
      <c r="A169" s="30" t="s">
        <v>533</v>
      </c>
      <c r="B169" s="30" t="s">
        <v>197</v>
      </c>
      <c r="C169" s="30" t="s">
        <v>536</v>
      </c>
      <c r="D169" s="97">
        <f>'[1]Key Control'!F103</f>
        <v>18.170000000000002</v>
      </c>
      <c r="L169" s="53"/>
      <c r="M169" s="53"/>
      <c r="N169" s="53" t="s">
        <v>65</v>
      </c>
      <c r="O169" s="54" t="s">
        <v>49</v>
      </c>
      <c r="P169" s="27">
        <f>'[1]Example Crude Property'!D411</f>
        <v>0.84640000000000004</v>
      </c>
    </row>
    <row r="170" spans="1:16" ht="16.05" customHeight="1" x14ac:dyDescent="0.4">
      <c r="A170" s="30" t="s">
        <v>533</v>
      </c>
      <c r="B170" s="30" t="s">
        <v>358</v>
      </c>
      <c r="C170" s="30" t="s">
        <v>537</v>
      </c>
      <c r="D170" s="30">
        <f>'[1]Key Control'!F120</f>
        <v>340.1</v>
      </c>
      <c r="L170" s="53"/>
      <c r="M170" s="53"/>
      <c r="N170" s="53" t="s">
        <v>76</v>
      </c>
      <c r="O170" s="54" t="s">
        <v>49</v>
      </c>
      <c r="P170" s="27">
        <f>'[1]Example Crude Property'!D408</f>
        <v>3.18</v>
      </c>
    </row>
    <row r="171" spans="1:16" ht="16.05" customHeight="1" x14ac:dyDescent="0.4">
      <c r="A171" s="30" t="s">
        <v>533</v>
      </c>
      <c r="B171" s="30" t="s">
        <v>206</v>
      </c>
      <c r="C171" s="30" t="s">
        <v>538</v>
      </c>
      <c r="D171" s="97">
        <f>'[1]Key Control'!F121</f>
        <v>340.1</v>
      </c>
      <c r="L171" s="53"/>
      <c r="M171" s="53"/>
      <c r="N171" s="53" t="s">
        <v>83</v>
      </c>
      <c r="O171" s="54" t="s">
        <v>49</v>
      </c>
      <c r="P171" s="27">
        <f>'[1]Example Crude Property'!D409</f>
        <v>1.45</v>
      </c>
    </row>
    <row r="172" spans="1:16" ht="16.05" customHeight="1" x14ac:dyDescent="0.4">
      <c r="A172" s="30" t="s">
        <v>533</v>
      </c>
      <c r="B172" s="30" t="s">
        <v>199</v>
      </c>
      <c r="C172" s="30" t="s">
        <v>539</v>
      </c>
      <c r="D172" s="97">
        <f>'[1]Key Control'!F122</f>
        <v>0.71399999999999997</v>
      </c>
      <c r="L172" s="53"/>
      <c r="M172" s="53"/>
      <c r="N172" s="53" t="s">
        <v>91</v>
      </c>
      <c r="O172" s="54" t="s">
        <v>49</v>
      </c>
      <c r="P172" s="27">
        <f>'[1]Example Crude Property'!D412</f>
        <v>8.0100000000000005E-2</v>
      </c>
    </row>
    <row r="173" spans="1:16" ht="16.05" customHeight="1" x14ac:dyDescent="0.4">
      <c r="A173" s="30"/>
      <c r="B173" s="30"/>
      <c r="C173" s="30"/>
      <c r="D173" s="30"/>
      <c r="L173" s="58"/>
      <c r="M173" s="58"/>
      <c r="N173" s="58" t="s">
        <v>98</v>
      </c>
      <c r="O173" s="94" t="s">
        <v>99</v>
      </c>
      <c r="P173" s="50"/>
    </row>
    <row r="174" spans="1:16" ht="6" customHeight="1" thickBot="1" x14ac:dyDescent="0.45">
      <c r="A174" s="98" t="s">
        <v>540</v>
      </c>
      <c r="B174" s="98" t="s">
        <v>532</v>
      </c>
      <c r="C174" s="98"/>
      <c r="D174" s="98"/>
      <c r="P174" s="27"/>
    </row>
    <row r="175" spans="1:16" ht="19.95" customHeight="1" x14ac:dyDescent="0.4">
      <c r="A175" s="99" t="s">
        <v>18</v>
      </c>
      <c r="B175" s="99" t="s">
        <v>42</v>
      </c>
      <c r="C175" s="99" t="s">
        <v>43</v>
      </c>
      <c r="D175" s="99" t="s">
        <v>7</v>
      </c>
      <c r="L175" s="8" t="s">
        <v>431</v>
      </c>
      <c r="M175" s="8" t="s">
        <v>541</v>
      </c>
      <c r="N175" s="8"/>
      <c r="O175" s="8"/>
      <c r="P175" s="27"/>
    </row>
    <row r="176" spans="1:16" ht="18" customHeight="1" x14ac:dyDescent="0.4">
      <c r="A176" s="30" t="s">
        <v>542</v>
      </c>
      <c r="B176" s="30" t="s">
        <v>73</v>
      </c>
      <c r="C176" s="30" t="s">
        <v>543</v>
      </c>
      <c r="D176" s="97">
        <f>'[1]Key Control'!F104</f>
        <v>130.6</v>
      </c>
      <c r="L176" s="17" t="s">
        <v>18</v>
      </c>
      <c r="M176" s="17" t="s">
        <v>19</v>
      </c>
      <c r="N176" s="17" t="s">
        <v>20</v>
      </c>
      <c r="O176" s="17" t="s">
        <v>21</v>
      </c>
      <c r="P176" s="18" t="s">
        <v>7</v>
      </c>
    </row>
    <row r="177" spans="1:16" ht="16.05" customHeight="1" x14ac:dyDescent="0.4">
      <c r="A177" s="30" t="s">
        <v>542</v>
      </c>
      <c r="B177" s="30" t="s">
        <v>334</v>
      </c>
      <c r="C177" s="30" t="s">
        <v>544</v>
      </c>
      <c r="D177" s="97">
        <f>'[1]Key Control'!F108</f>
        <v>291.05</v>
      </c>
      <c r="L177" s="24" t="s">
        <v>46</v>
      </c>
      <c r="M177" s="25" t="s">
        <v>545</v>
      </c>
      <c r="N177" s="25" t="s">
        <v>48</v>
      </c>
      <c r="O177" s="26" t="s">
        <v>49</v>
      </c>
      <c r="P177" s="27">
        <f>'[1]Example Crude Property'!D42</f>
        <v>38.9</v>
      </c>
    </row>
    <row r="178" spans="1:16" ht="16.05" customHeight="1" x14ac:dyDescent="0.4">
      <c r="A178" s="30" t="s">
        <v>542</v>
      </c>
      <c r="B178" s="30" t="s">
        <v>360</v>
      </c>
      <c r="C178" s="30" t="s">
        <v>546</v>
      </c>
      <c r="D178" s="97">
        <f>'[1]Key Control'!F112</f>
        <v>389.4</v>
      </c>
      <c r="L178" s="31"/>
      <c r="M178" s="31"/>
      <c r="N178" s="31" t="s">
        <v>65</v>
      </c>
      <c r="O178" s="32" t="s">
        <v>49</v>
      </c>
      <c r="P178" s="27">
        <f>'[1]Example Crude Property'!D54</f>
        <v>0.8306</v>
      </c>
    </row>
    <row r="179" spans="1:16" ht="16.05" customHeight="1" x14ac:dyDescent="0.4">
      <c r="A179" s="30" t="s">
        <v>542</v>
      </c>
      <c r="B179" s="30" t="s">
        <v>353</v>
      </c>
      <c r="C179" s="30" t="s">
        <v>547</v>
      </c>
      <c r="D179" s="97">
        <f>'[1]Key Control'!F116</f>
        <v>356.36</v>
      </c>
      <c r="L179" s="31"/>
      <c r="M179" s="31"/>
      <c r="N179" s="31" t="s">
        <v>76</v>
      </c>
      <c r="O179" s="32" t="s">
        <v>49</v>
      </c>
      <c r="P179" s="27">
        <f>'[1]Example Crude Property'!D51</f>
        <v>3.11</v>
      </c>
    </row>
    <row r="180" spans="1:16" ht="16.05" customHeight="1" x14ac:dyDescent="0.4">
      <c r="A180" s="30"/>
      <c r="B180" s="30"/>
      <c r="C180" s="30"/>
      <c r="D180" s="30"/>
      <c r="L180" s="31"/>
      <c r="M180" s="31"/>
      <c r="N180" s="31" t="s">
        <v>83</v>
      </c>
      <c r="O180" s="32" t="s">
        <v>49</v>
      </c>
      <c r="P180" s="27">
        <f>'[1]Example Crude Property'!D52</f>
        <v>1.39</v>
      </c>
    </row>
    <row r="181" spans="1:16" ht="16.05" customHeight="1" x14ac:dyDescent="0.4">
      <c r="A181" s="98" t="s">
        <v>548</v>
      </c>
      <c r="B181" s="98" t="s">
        <v>532</v>
      </c>
      <c r="C181" s="98"/>
      <c r="D181" s="98"/>
      <c r="L181" s="31"/>
      <c r="M181" s="31"/>
      <c r="N181" s="31" t="s">
        <v>91</v>
      </c>
      <c r="O181" s="32" t="s">
        <v>49</v>
      </c>
      <c r="P181" s="27">
        <f>'[1]Example Crude Property'!D55</f>
        <v>7.7799999999999994E-2</v>
      </c>
    </row>
    <row r="182" spans="1:16" ht="16.05" customHeight="1" x14ac:dyDescent="0.4">
      <c r="A182" s="99" t="s">
        <v>18</v>
      </c>
      <c r="B182" s="99" t="s">
        <v>42</v>
      </c>
      <c r="C182" s="99" t="s">
        <v>43</v>
      </c>
      <c r="D182" s="99" t="s">
        <v>7</v>
      </c>
      <c r="L182" s="31"/>
      <c r="M182" s="31"/>
      <c r="N182" s="31" t="s">
        <v>98</v>
      </c>
      <c r="O182" s="48" t="s">
        <v>99</v>
      </c>
      <c r="P182" s="27">
        <f>'[1]Example Crude Property'!D75</f>
        <v>0.13300000000000001</v>
      </c>
    </row>
    <row r="183" spans="1:16" ht="16.05" customHeight="1" x14ac:dyDescent="0.4">
      <c r="A183" s="30" t="s">
        <v>549</v>
      </c>
      <c r="B183" s="30" t="s">
        <v>81</v>
      </c>
      <c r="C183" s="30" t="s">
        <v>550</v>
      </c>
      <c r="D183" s="97">
        <f>'[1]Key Control'!F105</f>
        <v>131.69999999999999</v>
      </c>
      <c r="L183" s="31"/>
      <c r="M183" s="31"/>
      <c r="N183" s="31" t="s">
        <v>106</v>
      </c>
      <c r="O183" s="48" t="s">
        <v>99</v>
      </c>
      <c r="P183" s="27">
        <f>'[1]Example Crude Property'!D47</f>
        <v>0.82699999999999996</v>
      </c>
    </row>
    <row r="184" spans="1:16" ht="16.05" customHeight="1" x14ac:dyDescent="0.4">
      <c r="A184" s="30" t="s">
        <v>549</v>
      </c>
      <c r="B184" s="30" t="s">
        <v>330</v>
      </c>
      <c r="C184" s="30" t="s">
        <v>551</v>
      </c>
      <c r="D184" s="97">
        <f>'[1]Key Control'!F109</f>
        <v>286.29000000000002</v>
      </c>
      <c r="L184" s="31"/>
      <c r="M184" s="31"/>
      <c r="N184" s="31" t="s">
        <v>114</v>
      </c>
      <c r="O184" s="48" t="s">
        <v>99</v>
      </c>
      <c r="P184" s="50"/>
    </row>
    <row r="185" spans="1:16" ht="16.05" customHeight="1" x14ac:dyDescent="0.4">
      <c r="A185" s="30" t="s">
        <v>549</v>
      </c>
      <c r="B185" s="30" t="s">
        <v>364</v>
      </c>
      <c r="C185" s="30" t="s">
        <v>552</v>
      </c>
      <c r="D185" s="97">
        <f>'[1]Key Control'!F113</f>
        <v>370.14</v>
      </c>
      <c r="L185" s="52" t="s">
        <v>401</v>
      </c>
      <c r="M185" s="53" t="s">
        <v>553</v>
      </c>
      <c r="N185" s="53" t="s">
        <v>65</v>
      </c>
      <c r="O185" s="54" t="s">
        <v>49</v>
      </c>
      <c r="P185" s="27">
        <f>'[1]Example Crude Property'!D694</f>
        <v>0.88759999999999994</v>
      </c>
    </row>
    <row r="186" spans="1:16" ht="16.05" customHeight="1" x14ac:dyDescent="0.4">
      <c r="A186" s="30" t="s">
        <v>549</v>
      </c>
      <c r="B186" s="30" t="s">
        <v>337</v>
      </c>
      <c r="C186" s="30" t="s">
        <v>554</v>
      </c>
      <c r="D186" s="97">
        <f>'[1]Key Control'!F117</f>
        <v>335.61</v>
      </c>
      <c r="L186" s="53"/>
      <c r="M186" s="53"/>
      <c r="N186" s="53" t="s">
        <v>76</v>
      </c>
      <c r="O186" s="54" t="s">
        <v>49</v>
      </c>
      <c r="P186" s="27">
        <f>'[1]Example Crude Property'!D691</f>
        <v>40.299999999999997</v>
      </c>
    </row>
    <row r="187" spans="1:16" ht="16.05" customHeight="1" x14ac:dyDescent="0.4">
      <c r="A187" s="30"/>
      <c r="B187" s="30"/>
      <c r="C187" s="30"/>
      <c r="D187" s="30"/>
      <c r="L187" s="53"/>
      <c r="M187" s="53"/>
      <c r="N187" s="53" t="s">
        <v>83</v>
      </c>
      <c r="O187" s="54" t="s">
        <v>49</v>
      </c>
      <c r="P187" s="27">
        <f>'[1]Example Crude Property'!D692</f>
        <v>8.6300000000000008</v>
      </c>
    </row>
    <row r="188" spans="1:16" ht="16.05" customHeight="1" x14ac:dyDescent="0.4">
      <c r="A188" s="98" t="s">
        <v>555</v>
      </c>
      <c r="B188" s="98" t="s">
        <v>532</v>
      </c>
      <c r="C188" s="98"/>
      <c r="D188" s="98"/>
      <c r="L188" s="53"/>
      <c r="M188" s="53"/>
      <c r="N188" s="53" t="s">
        <v>91</v>
      </c>
      <c r="O188" s="54" t="s">
        <v>49</v>
      </c>
      <c r="P188" s="27">
        <f>'[1]Example Crude Property'!D695</f>
        <v>0.14000000000000001</v>
      </c>
    </row>
    <row r="189" spans="1:16" ht="16.05" customHeight="1" x14ac:dyDescent="0.4">
      <c r="A189" s="99" t="s">
        <v>18</v>
      </c>
      <c r="B189" s="99" t="s">
        <v>42</v>
      </c>
      <c r="C189" s="99" t="s">
        <v>43</v>
      </c>
      <c r="D189" s="99" t="s">
        <v>7</v>
      </c>
      <c r="L189" s="58"/>
      <c r="M189" s="58"/>
      <c r="N189" s="58" t="s">
        <v>509</v>
      </c>
      <c r="O189" s="94" t="s">
        <v>510</v>
      </c>
      <c r="P189" s="27">
        <f>'[1]Example Crude Property'!D714</f>
        <v>0.37</v>
      </c>
    </row>
    <row r="190" spans="1:16" ht="17.399999999999999" thickBot="1" x14ac:dyDescent="0.45">
      <c r="A190" s="30" t="s">
        <v>556</v>
      </c>
      <c r="B190" s="30" t="s">
        <v>89</v>
      </c>
      <c r="C190" s="30" t="s">
        <v>557</v>
      </c>
      <c r="D190" s="97">
        <f>'[1]Key Control'!F106</f>
        <v>131.69999999999999</v>
      </c>
      <c r="P190" s="27"/>
    </row>
    <row r="191" spans="1:16" ht="19.95" customHeight="1" x14ac:dyDescent="0.4">
      <c r="A191" s="30" t="s">
        <v>556</v>
      </c>
      <c r="B191" s="30" t="s">
        <v>327</v>
      </c>
      <c r="C191" s="30" t="s">
        <v>558</v>
      </c>
      <c r="D191" s="97">
        <f>'[1]Key Control'!F110</f>
        <v>286.83999999999997</v>
      </c>
      <c r="L191" s="8" t="s">
        <v>453</v>
      </c>
      <c r="M191" s="8" t="s">
        <v>559</v>
      </c>
      <c r="N191" s="8"/>
      <c r="O191" s="8"/>
      <c r="P191" s="27"/>
    </row>
    <row r="192" spans="1:16" ht="18" customHeight="1" x14ac:dyDescent="0.4">
      <c r="A192" s="30" t="s">
        <v>556</v>
      </c>
      <c r="B192" s="30" t="s">
        <v>347</v>
      </c>
      <c r="C192" s="30" t="s">
        <v>560</v>
      </c>
      <c r="D192" s="97">
        <f>'[1]Key Control'!F114</f>
        <v>356.49</v>
      </c>
      <c r="L192" s="17" t="s">
        <v>18</v>
      </c>
      <c r="M192" s="17" t="s">
        <v>19</v>
      </c>
      <c r="N192" s="17" t="s">
        <v>20</v>
      </c>
      <c r="O192" s="17" t="s">
        <v>21</v>
      </c>
      <c r="P192" s="18" t="s">
        <v>7</v>
      </c>
    </row>
    <row r="193" spans="1:16" ht="16.05" customHeight="1" x14ac:dyDescent="0.4">
      <c r="A193" s="30" t="s">
        <v>556</v>
      </c>
      <c r="B193" s="30" t="s">
        <v>342</v>
      </c>
      <c r="C193" s="30" t="s">
        <v>561</v>
      </c>
      <c r="D193" s="97">
        <f>'[1]Key Control'!F118</f>
        <v>335</v>
      </c>
      <c r="L193" s="24" t="s">
        <v>46</v>
      </c>
      <c r="M193" s="25" t="s">
        <v>562</v>
      </c>
      <c r="N193" s="25" t="s">
        <v>48</v>
      </c>
      <c r="O193" s="26" t="s">
        <v>49</v>
      </c>
      <c r="P193" s="27">
        <f>'[1]Example Crude Property'!D42</f>
        <v>38.9</v>
      </c>
    </row>
    <row r="194" spans="1:16" ht="16.05" customHeight="1" x14ac:dyDescent="0.4">
      <c r="A194" s="30"/>
      <c r="B194" s="30"/>
      <c r="C194" s="30"/>
      <c r="D194" s="30"/>
      <c r="L194" s="31"/>
      <c r="M194" s="31"/>
      <c r="N194" s="31" t="s">
        <v>65</v>
      </c>
      <c r="O194" s="32" t="s">
        <v>49</v>
      </c>
      <c r="P194" s="27">
        <f>'[1]Example Crude Property'!D54</f>
        <v>0.8306</v>
      </c>
    </row>
    <row r="195" spans="1:16" ht="16.05" customHeight="1" x14ac:dyDescent="0.4">
      <c r="A195" s="98" t="s">
        <v>563</v>
      </c>
      <c r="B195" s="98" t="s">
        <v>532</v>
      </c>
      <c r="C195" s="98"/>
      <c r="D195" s="98"/>
      <c r="L195" s="31"/>
      <c r="M195" s="31"/>
      <c r="N195" s="31" t="s">
        <v>76</v>
      </c>
      <c r="O195" s="32" t="s">
        <v>49</v>
      </c>
      <c r="P195" s="27">
        <f>'[1]Example Crude Property'!D51</f>
        <v>3.11</v>
      </c>
    </row>
    <row r="196" spans="1:16" ht="16.05" customHeight="1" x14ac:dyDescent="0.4">
      <c r="A196" s="99" t="s">
        <v>18</v>
      </c>
      <c r="B196" s="99" t="s">
        <v>42</v>
      </c>
      <c r="C196" s="99" t="s">
        <v>43</v>
      </c>
      <c r="D196" s="99" t="s">
        <v>7</v>
      </c>
      <c r="L196" s="31"/>
      <c r="M196" s="31"/>
      <c r="N196" s="31" t="s">
        <v>83</v>
      </c>
      <c r="O196" s="32" t="s">
        <v>49</v>
      </c>
      <c r="P196" s="27">
        <f>'[1]Example Crude Property'!D52</f>
        <v>1.39</v>
      </c>
    </row>
    <row r="197" spans="1:16" ht="16.05" customHeight="1" x14ac:dyDescent="0.4">
      <c r="A197" s="30" t="s">
        <v>564</v>
      </c>
      <c r="B197" s="30" t="s">
        <v>96</v>
      </c>
      <c r="C197" s="30" t="s">
        <v>565</v>
      </c>
      <c r="D197" s="97">
        <f>'[1]Key Control'!F107</f>
        <v>131.80000000000001</v>
      </c>
      <c r="L197" s="31"/>
      <c r="M197" s="31"/>
      <c r="N197" s="31" t="s">
        <v>91</v>
      </c>
      <c r="O197" s="32" t="s">
        <v>49</v>
      </c>
      <c r="P197" s="27">
        <f>'[1]Example Crude Property'!D55</f>
        <v>7.7799999999999994E-2</v>
      </c>
    </row>
    <row r="198" spans="1:16" ht="16.05" customHeight="1" x14ac:dyDescent="0.4">
      <c r="A198" s="30" t="s">
        <v>564</v>
      </c>
      <c r="B198" s="80" t="s">
        <v>324</v>
      </c>
      <c r="C198" s="30" t="s">
        <v>566</v>
      </c>
      <c r="D198" s="97">
        <f>'[1]Key Control'!F111</f>
        <v>290.3</v>
      </c>
      <c r="L198" s="52" t="s">
        <v>322</v>
      </c>
      <c r="M198" s="53" t="s">
        <v>567</v>
      </c>
      <c r="N198" s="53" t="s">
        <v>48</v>
      </c>
      <c r="O198" s="54" t="s">
        <v>49</v>
      </c>
      <c r="P198" s="27">
        <f>'[1]Example Crude Property'!D332</f>
        <v>45.2</v>
      </c>
    </row>
    <row r="199" spans="1:16" ht="16.05" customHeight="1" x14ac:dyDescent="0.4">
      <c r="A199" s="30" t="s">
        <v>564</v>
      </c>
      <c r="B199" s="80" t="s">
        <v>344</v>
      </c>
      <c r="C199" s="30" t="s">
        <v>568</v>
      </c>
      <c r="D199" s="97">
        <f>'[1]Key Control'!F115</f>
        <v>378.75</v>
      </c>
      <c r="L199" s="53"/>
      <c r="M199" s="53"/>
      <c r="N199" s="53" t="s">
        <v>65</v>
      </c>
      <c r="O199" s="54" t="s">
        <v>49</v>
      </c>
      <c r="P199" s="27">
        <f>'[1]Example Crude Property'!D350</f>
        <v>0.80089999999999995</v>
      </c>
    </row>
    <row r="200" spans="1:16" ht="16.05" customHeight="1" x14ac:dyDescent="0.4">
      <c r="A200" s="30" t="s">
        <v>564</v>
      </c>
      <c r="B200" s="30" t="s">
        <v>356</v>
      </c>
      <c r="C200" s="30" t="s">
        <v>569</v>
      </c>
      <c r="D200" s="97">
        <f>'[1]Key Control'!F119</f>
        <v>345.41</v>
      </c>
      <c r="L200" s="53"/>
      <c r="M200" s="53"/>
      <c r="N200" s="53" t="s">
        <v>76</v>
      </c>
      <c r="O200" s="54" t="s">
        <v>49</v>
      </c>
      <c r="P200" s="27">
        <f>'[1]Example Crude Property'!D347</f>
        <v>0.999</v>
      </c>
    </row>
    <row r="201" spans="1:16" ht="16.05" customHeight="1" x14ac:dyDescent="0.4">
      <c r="L201" s="53"/>
      <c r="M201" s="53"/>
      <c r="N201" s="53" t="s">
        <v>83</v>
      </c>
      <c r="O201" s="54" t="s">
        <v>49</v>
      </c>
      <c r="P201" s="27">
        <f>'[1]Example Crude Property'!D348</f>
        <v>0.622</v>
      </c>
    </row>
    <row r="202" spans="1:16" ht="16.05" customHeight="1" x14ac:dyDescent="0.4">
      <c r="A202" s="98" t="s">
        <v>570</v>
      </c>
      <c r="B202" s="98" t="s">
        <v>532</v>
      </c>
      <c r="C202" s="98"/>
      <c r="D202" s="98"/>
      <c r="L202" s="58"/>
      <c r="M202" s="58"/>
      <c r="N202" s="58" t="s">
        <v>91</v>
      </c>
      <c r="O202" s="59" t="s">
        <v>49</v>
      </c>
      <c r="P202" s="27">
        <f>'[1]Example Crude Property'!D351</f>
        <v>1.0999999999999999E-2</v>
      </c>
    </row>
    <row r="203" spans="1:16" ht="6" customHeight="1" thickBot="1" x14ac:dyDescent="0.45">
      <c r="A203" s="99" t="s">
        <v>18</v>
      </c>
      <c r="B203" s="99" t="s">
        <v>42</v>
      </c>
      <c r="C203" s="99" t="s">
        <v>43</v>
      </c>
      <c r="D203" s="99" t="s">
        <v>7</v>
      </c>
      <c r="P203" s="27"/>
    </row>
    <row r="204" spans="1:16" ht="19.95" customHeight="1" x14ac:dyDescent="0.4">
      <c r="A204" s="30" t="s">
        <v>571</v>
      </c>
      <c r="B204" s="30" t="s">
        <v>211</v>
      </c>
      <c r="C204" s="30" t="s">
        <v>572</v>
      </c>
      <c r="D204" s="97">
        <v>6806</v>
      </c>
      <c r="L204" s="95" t="s">
        <v>573</v>
      </c>
      <c r="M204" s="95" t="s">
        <v>574</v>
      </c>
      <c r="N204" s="95"/>
      <c r="O204" s="95"/>
      <c r="P204" s="27"/>
    </row>
    <row r="205" spans="1:16" ht="18" customHeight="1" x14ac:dyDescent="0.4">
      <c r="A205" s="30" t="s">
        <v>575</v>
      </c>
      <c r="B205" s="30" t="s">
        <v>349</v>
      </c>
      <c r="C205" s="30" t="s">
        <v>350</v>
      </c>
      <c r="D205" s="97">
        <v>414.94</v>
      </c>
      <c r="L205" s="17" t="s">
        <v>18</v>
      </c>
      <c r="M205" s="17" t="s">
        <v>19</v>
      </c>
      <c r="N205" s="17" t="s">
        <v>20</v>
      </c>
      <c r="O205" s="17" t="s">
        <v>21</v>
      </c>
      <c r="P205" s="18" t="s">
        <v>7</v>
      </c>
    </row>
    <row r="206" spans="1:16" ht="16.05" customHeight="1" x14ac:dyDescent="0.4">
      <c r="A206" s="30"/>
      <c r="B206" s="30"/>
      <c r="C206" s="30"/>
      <c r="D206" s="30"/>
      <c r="L206" s="24" t="s">
        <v>46</v>
      </c>
      <c r="M206" s="25" t="s">
        <v>576</v>
      </c>
      <c r="N206" s="25" t="s">
        <v>48</v>
      </c>
      <c r="O206" s="26" t="s">
        <v>49</v>
      </c>
      <c r="P206" s="27">
        <f>'[1]Example Crude Property'!D42</f>
        <v>38.9</v>
      </c>
    </row>
    <row r="207" spans="1:16" ht="16.05" customHeight="1" x14ac:dyDescent="0.4">
      <c r="A207" s="98" t="s">
        <v>577</v>
      </c>
      <c r="B207" s="98" t="s">
        <v>532</v>
      </c>
      <c r="C207" s="98"/>
      <c r="D207" s="98"/>
      <c r="L207" s="31"/>
      <c r="M207" s="31"/>
      <c r="N207" s="31" t="s">
        <v>65</v>
      </c>
      <c r="O207" s="32" t="s">
        <v>49</v>
      </c>
      <c r="P207" s="27">
        <f>'[1]Example Crude Property'!D54</f>
        <v>0.8306</v>
      </c>
    </row>
    <row r="208" spans="1:16" ht="16.05" customHeight="1" x14ac:dyDescent="0.4">
      <c r="A208" s="99" t="s">
        <v>18</v>
      </c>
      <c r="B208" s="99" t="s">
        <v>42</v>
      </c>
      <c r="C208" s="99" t="s">
        <v>43</v>
      </c>
      <c r="D208" s="99" t="s">
        <v>7</v>
      </c>
      <c r="L208" s="31"/>
      <c r="M208" s="31"/>
      <c r="N208" s="31" t="s">
        <v>76</v>
      </c>
      <c r="O208" s="32" t="s">
        <v>49</v>
      </c>
      <c r="P208" s="27">
        <f>'[1]Example Crude Property'!D51</f>
        <v>3.11</v>
      </c>
    </row>
    <row r="209" spans="1:16" ht="16.05" customHeight="1" x14ac:dyDescent="0.4">
      <c r="A209" s="30" t="s">
        <v>578</v>
      </c>
      <c r="B209" s="80" t="s">
        <v>579</v>
      </c>
      <c r="C209" s="30" t="s">
        <v>400</v>
      </c>
      <c r="D209" s="97">
        <f>'[1]Key Control'!F123</f>
        <v>183.71</v>
      </c>
      <c r="L209" s="31"/>
      <c r="M209" s="31"/>
      <c r="N209" s="31" t="s">
        <v>83</v>
      </c>
      <c r="O209" s="32" t="s">
        <v>49</v>
      </c>
      <c r="P209" s="27">
        <f>'[1]Example Crude Property'!D52</f>
        <v>1.39</v>
      </c>
    </row>
    <row r="210" spans="1:16" ht="16.05" customHeight="1" x14ac:dyDescent="0.4">
      <c r="A210" s="30" t="s">
        <v>578</v>
      </c>
      <c r="B210" s="80" t="s">
        <v>580</v>
      </c>
      <c r="C210" s="30" t="s">
        <v>404</v>
      </c>
      <c r="D210" s="97">
        <f>'[1]Key Control'!F124</f>
        <v>182.9</v>
      </c>
      <c r="L210" s="31"/>
      <c r="M210" s="31"/>
      <c r="N210" s="31" t="s">
        <v>91</v>
      </c>
      <c r="O210" s="32" t="s">
        <v>49</v>
      </c>
      <c r="P210" s="27">
        <f>'[1]Example Crude Property'!D55</f>
        <v>7.7799999999999994E-2</v>
      </c>
    </row>
    <row r="211" spans="1:16" ht="16.05" customHeight="1" x14ac:dyDescent="0.4">
      <c r="A211" s="30" t="s">
        <v>581</v>
      </c>
      <c r="B211" s="30" t="s">
        <v>582</v>
      </c>
      <c r="C211" s="30" t="s">
        <v>367</v>
      </c>
      <c r="D211" s="97">
        <f>'[1]Key Control'!F132</f>
        <v>347.98</v>
      </c>
      <c r="L211" s="31"/>
      <c r="M211" s="31"/>
      <c r="N211" s="31" t="s">
        <v>509</v>
      </c>
      <c r="O211" s="48" t="s">
        <v>510</v>
      </c>
      <c r="P211" s="27">
        <f>'[1]Example Crude Property'!D75</f>
        <v>0.13300000000000001</v>
      </c>
    </row>
    <row r="212" spans="1:16" ht="16.05" customHeight="1" x14ac:dyDescent="0.4">
      <c r="A212" s="30" t="s">
        <v>583</v>
      </c>
      <c r="B212" s="30" t="s">
        <v>584</v>
      </c>
      <c r="C212" s="30" t="s">
        <v>585</v>
      </c>
      <c r="D212" s="97">
        <f>'[1]Key Control'!F133</f>
        <v>412.35</v>
      </c>
      <c r="L212" s="31"/>
      <c r="M212" s="31"/>
      <c r="N212" s="31" t="s">
        <v>513</v>
      </c>
      <c r="O212" s="48" t="s">
        <v>510</v>
      </c>
      <c r="P212" s="27">
        <f>'[1]Example Crude Property'!D47</f>
        <v>0.82699999999999996</v>
      </c>
    </row>
    <row r="213" spans="1:16" ht="16.05" customHeight="1" x14ac:dyDescent="0.4">
      <c r="A213" s="30"/>
      <c r="B213" s="30"/>
      <c r="C213" s="30"/>
      <c r="D213" s="30"/>
      <c r="L213" s="31"/>
      <c r="M213" s="31"/>
      <c r="N213" s="31" t="s">
        <v>114</v>
      </c>
      <c r="O213" s="48" t="s">
        <v>99</v>
      </c>
      <c r="P213" s="50"/>
    </row>
    <row r="214" spans="1:16" ht="16.05" customHeight="1" x14ac:dyDescent="0.4">
      <c r="A214" s="98" t="s">
        <v>586</v>
      </c>
      <c r="B214" s="98" t="s">
        <v>587</v>
      </c>
      <c r="C214" s="98"/>
      <c r="D214" s="98"/>
      <c r="L214" s="73" t="s">
        <v>588</v>
      </c>
      <c r="M214" s="71" t="s">
        <v>589</v>
      </c>
      <c r="N214" s="71" t="s">
        <v>65</v>
      </c>
      <c r="O214" s="72" t="s">
        <v>590</v>
      </c>
      <c r="P214" s="50" t="s">
        <v>341</v>
      </c>
    </row>
    <row r="215" spans="1:16" ht="16.05" customHeight="1" x14ac:dyDescent="0.4">
      <c r="A215" s="99" t="s">
        <v>18</v>
      </c>
      <c r="B215" s="99" t="s">
        <v>42</v>
      </c>
      <c r="C215" s="99" t="s">
        <v>43</v>
      </c>
      <c r="D215" s="99" t="s">
        <v>7</v>
      </c>
      <c r="L215" s="71"/>
      <c r="M215" s="71"/>
      <c r="N215" s="71" t="s">
        <v>76</v>
      </c>
      <c r="O215" s="72" t="s">
        <v>590</v>
      </c>
      <c r="P215" s="50" t="s">
        <v>341</v>
      </c>
    </row>
    <row r="216" spans="1:16" ht="16.05" customHeight="1" x14ac:dyDescent="0.4">
      <c r="A216" s="30" t="s">
        <v>522</v>
      </c>
      <c r="B216" s="30" t="s">
        <v>591</v>
      </c>
      <c r="C216" s="30" t="s">
        <v>592</v>
      </c>
      <c r="D216" s="97">
        <f>'[1]Key Control'!F125</f>
        <v>28.1</v>
      </c>
      <c r="L216" s="71"/>
      <c r="M216" s="71"/>
      <c r="N216" s="71" t="s">
        <v>83</v>
      </c>
      <c r="O216" s="72" t="s">
        <v>590</v>
      </c>
      <c r="P216" s="50" t="s">
        <v>341</v>
      </c>
    </row>
    <row r="217" spans="1:16" ht="16.05" customHeight="1" x14ac:dyDescent="0.4">
      <c r="A217" s="30" t="s">
        <v>522</v>
      </c>
      <c r="B217" s="30" t="s">
        <v>593</v>
      </c>
      <c r="C217" s="30" t="s">
        <v>594</v>
      </c>
      <c r="D217" s="97">
        <f>'[1]Key Control'!F126</f>
        <v>39.86</v>
      </c>
      <c r="L217" s="71"/>
      <c r="M217" s="71"/>
      <c r="N217" s="71" t="s">
        <v>91</v>
      </c>
      <c r="O217" s="72" t="s">
        <v>590</v>
      </c>
      <c r="P217" s="50" t="s">
        <v>341</v>
      </c>
    </row>
    <row r="218" spans="1:16" ht="16.05" customHeight="1" x14ac:dyDescent="0.4">
      <c r="A218" s="30" t="s">
        <v>522</v>
      </c>
      <c r="B218" s="30" t="s">
        <v>595</v>
      </c>
      <c r="C218" s="30" t="s">
        <v>596</v>
      </c>
      <c r="D218" s="97">
        <f>'[1]Key Control'!F127</f>
        <v>227.74</v>
      </c>
      <c r="L218" s="71"/>
      <c r="M218" s="71"/>
      <c r="N218" s="71" t="s">
        <v>509</v>
      </c>
      <c r="O218" s="72" t="s">
        <v>590</v>
      </c>
      <c r="P218" s="50" t="s">
        <v>341</v>
      </c>
    </row>
    <row r="219" spans="1:16" ht="16.05" customHeight="1" x14ac:dyDescent="0.4">
      <c r="A219" s="30" t="s">
        <v>522</v>
      </c>
      <c r="B219" s="30" t="s">
        <v>597</v>
      </c>
      <c r="C219" s="30" t="s">
        <v>385</v>
      </c>
      <c r="D219" s="97">
        <f>'[1]Key Control'!F128</f>
        <v>232.63</v>
      </c>
      <c r="L219" s="74"/>
      <c r="M219" s="74"/>
      <c r="N219" s="74" t="s">
        <v>513</v>
      </c>
      <c r="O219" s="75" t="s">
        <v>590</v>
      </c>
      <c r="P219" s="50" t="s">
        <v>341</v>
      </c>
    </row>
    <row r="220" spans="1:16" ht="17.399999999999999" thickBot="1" x14ac:dyDescent="0.45">
      <c r="A220" s="30"/>
      <c r="B220" s="30"/>
      <c r="C220" s="30"/>
      <c r="D220" s="30"/>
      <c r="P220" s="27"/>
    </row>
    <row r="221" spans="1:16" ht="19.95" customHeight="1" x14ac:dyDescent="0.4">
      <c r="A221" s="98" t="s">
        <v>598</v>
      </c>
      <c r="B221" s="98" t="s">
        <v>587</v>
      </c>
      <c r="C221" s="98"/>
      <c r="D221" s="98"/>
      <c r="L221" s="8" t="s">
        <v>503</v>
      </c>
      <c r="M221" s="8" t="s">
        <v>599</v>
      </c>
      <c r="N221" s="8"/>
      <c r="O221" s="8"/>
      <c r="P221" s="27"/>
    </row>
    <row r="222" spans="1:16" ht="18" customHeight="1" x14ac:dyDescent="0.4">
      <c r="A222" s="99" t="s">
        <v>18</v>
      </c>
      <c r="B222" s="99" t="s">
        <v>42</v>
      </c>
      <c r="C222" s="99" t="s">
        <v>43</v>
      </c>
      <c r="D222" s="99" t="s">
        <v>7</v>
      </c>
      <c r="L222" s="17" t="s">
        <v>18</v>
      </c>
      <c r="M222" s="17" t="s">
        <v>19</v>
      </c>
      <c r="N222" s="17" t="s">
        <v>20</v>
      </c>
      <c r="O222" s="17" t="s">
        <v>21</v>
      </c>
      <c r="P222" s="18" t="s">
        <v>7</v>
      </c>
    </row>
    <row r="223" spans="1:16" ht="16.05" customHeight="1" x14ac:dyDescent="0.4">
      <c r="A223" s="30" t="s">
        <v>526</v>
      </c>
      <c r="B223" s="30" t="s">
        <v>600</v>
      </c>
      <c r="C223" s="30" t="s">
        <v>601</v>
      </c>
      <c r="D223" s="97">
        <f>'[1]Key Control'!F129</f>
        <v>324.27999999999997</v>
      </c>
      <c r="L223" s="24" t="s">
        <v>46</v>
      </c>
      <c r="M223" s="25" t="s">
        <v>602</v>
      </c>
      <c r="N223" s="25" t="s">
        <v>48</v>
      </c>
      <c r="O223" s="26" t="s">
        <v>49</v>
      </c>
      <c r="P223" s="27">
        <f>'[1]Example Crude Property'!D42</f>
        <v>38.9</v>
      </c>
    </row>
    <row r="224" spans="1:16" ht="16.05" customHeight="1" x14ac:dyDescent="0.4">
      <c r="A224" s="30" t="s">
        <v>526</v>
      </c>
      <c r="B224" s="30" t="s">
        <v>603</v>
      </c>
      <c r="C224" s="30" t="s">
        <v>596</v>
      </c>
      <c r="D224" s="97">
        <f>'[1]Key Control'!F130</f>
        <v>154.88</v>
      </c>
      <c r="L224" s="31"/>
      <c r="M224" s="31"/>
      <c r="N224" s="31" t="s">
        <v>65</v>
      </c>
      <c r="O224" s="32" t="s">
        <v>49</v>
      </c>
      <c r="P224" s="27">
        <f>'[1]Example Crude Property'!D54</f>
        <v>0.8306</v>
      </c>
    </row>
    <row r="225" spans="1:16" ht="16.05" customHeight="1" x14ac:dyDescent="0.4">
      <c r="A225" s="30" t="s">
        <v>526</v>
      </c>
      <c r="B225" s="80" t="s">
        <v>604</v>
      </c>
      <c r="C225" s="30" t="s">
        <v>605</v>
      </c>
      <c r="D225" s="30">
        <f>'[1]Key Control'!F131</f>
        <v>2.52</v>
      </c>
      <c r="L225" s="31"/>
      <c r="M225" s="31"/>
      <c r="N225" s="31" t="s">
        <v>76</v>
      </c>
      <c r="O225" s="32" t="s">
        <v>49</v>
      </c>
      <c r="P225" s="27">
        <f>'[1]Example Crude Property'!D51</f>
        <v>3.11</v>
      </c>
    </row>
    <row r="226" spans="1:16" ht="16.05" customHeight="1" x14ac:dyDescent="0.4">
      <c r="A226" s="30" t="s">
        <v>526</v>
      </c>
      <c r="B226" s="30" t="s">
        <v>606</v>
      </c>
      <c r="C226" s="30" t="s">
        <v>607</v>
      </c>
      <c r="D226" s="97">
        <f>'[1]Key Control'!F134</f>
        <v>-3.02</v>
      </c>
      <c r="L226" s="31"/>
      <c r="M226" s="31"/>
      <c r="N226" s="31" t="s">
        <v>83</v>
      </c>
      <c r="O226" s="32" t="s">
        <v>49</v>
      </c>
      <c r="P226" s="27">
        <f>'[1]Example Crude Property'!D52</f>
        <v>1.39</v>
      </c>
    </row>
    <row r="227" spans="1:16" ht="16.05" customHeight="1" x14ac:dyDescent="0.4">
      <c r="A227" s="30"/>
      <c r="B227" s="30"/>
      <c r="C227" s="30"/>
      <c r="D227" s="30"/>
      <c r="L227" s="31"/>
      <c r="M227" s="31"/>
      <c r="N227" s="31" t="s">
        <v>91</v>
      </c>
      <c r="O227" s="32" t="s">
        <v>49</v>
      </c>
      <c r="P227" s="27">
        <f>'[1]Example Crude Property'!D55</f>
        <v>7.7799999999999994E-2</v>
      </c>
    </row>
    <row r="228" spans="1:16" ht="16.05" customHeight="1" x14ac:dyDescent="0.4">
      <c r="A228" s="98" t="s">
        <v>608</v>
      </c>
      <c r="B228" s="98" t="s">
        <v>532</v>
      </c>
      <c r="C228" s="98"/>
      <c r="D228" s="98"/>
      <c r="L228" s="31"/>
      <c r="M228" s="31"/>
      <c r="N228" s="31" t="s">
        <v>509</v>
      </c>
      <c r="O228" s="48" t="s">
        <v>510</v>
      </c>
      <c r="P228" s="27">
        <f>'[1]Example Crude Property'!D75</f>
        <v>0.13300000000000001</v>
      </c>
    </row>
    <row r="229" spans="1:16" ht="16.05" customHeight="1" x14ac:dyDescent="0.4">
      <c r="A229" s="99" t="s">
        <v>18</v>
      </c>
      <c r="B229" s="99" t="s">
        <v>42</v>
      </c>
      <c r="C229" s="99" t="s">
        <v>43</v>
      </c>
      <c r="D229" s="99" t="s">
        <v>7</v>
      </c>
      <c r="L229" s="52" t="s">
        <v>401</v>
      </c>
      <c r="M229" s="53" t="s">
        <v>609</v>
      </c>
      <c r="N229" s="53" t="s">
        <v>65</v>
      </c>
      <c r="O229" s="54" t="s">
        <v>49</v>
      </c>
      <c r="P229" s="27">
        <f>'[1]Example Crude Property'!D694</f>
        <v>0.88759999999999994</v>
      </c>
    </row>
    <row r="230" spans="1:16" ht="16.05" customHeight="1" x14ac:dyDescent="0.4">
      <c r="A230" s="30" t="s">
        <v>610</v>
      </c>
      <c r="B230" s="30" t="s">
        <v>611</v>
      </c>
      <c r="C230" s="30" t="s">
        <v>612</v>
      </c>
      <c r="D230" s="97">
        <f>'[1]Key Control'!F135</f>
        <v>6.66</v>
      </c>
      <c r="L230" s="53"/>
      <c r="M230" s="53"/>
      <c r="N230" s="53" t="s">
        <v>76</v>
      </c>
      <c r="O230" s="54" t="s">
        <v>49</v>
      </c>
      <c r="P230" s="27">
        <f>'[1]Example Crude Property'!D691</f>
        <v>40.299999999999997</v>
      </c>
    </row>
    <row r="231" spans="1:16" ht="16.05" customHeight="1" x14ac:dyDescent="0.4">
      <c r="A231" s="30" t="s">
        <v>610</v>
      </c>
      <c r="B231" s="80" t="s">
        <v>613</v>
      </c>
      <c r="C231" s="30" t="s">
        <v>614</v>
      </c>
      <c r="D231" s="97">
        <f>'[1]Key Control'!F136</f>
        <v>1.8220000000000001</v>
      </c>
      <c r="L231" s="53"/>
      <c r="M231" s="53"/>
      <c r="N231" s="53" t="s">
        <v>83</v>
      </c>
      <c r="O231" s="54" t="s">
        <v>49</v>
      </c>
      <c r="P231" s="27">
        <f>'[1]Example Crude Property'!D692</f>
        <v>8.6300000000000008</v>
      </c>
    </row>
    <row r="232" spans="1:16" ht="16.05" customHeight="1" x14ac:dyDescent="0.4">
      <c r="A232" s="30"/>
      <c r="B232" s="30"/>
      <c r="C232" s="30"/>
      <c r="D232" s="30"/>
      <c r="L232" s="53"/>
      <c r="M232" s="53"/>
      <c r="N232" s="53" t="s">
        <v>91</v>
      </c>
      <c r="O232" s="54" t="s">
        <v>49</v>
      </c>
      <c r="P232" s="27">
        <f>'[1]Example Crude Property'!D695</f>
        <v>0.14000000000000001</v>
      </c>
    </row>
    <row r="233" spans="1:16" ht="16.05" customHeight="1" x14ac:dyDescent="0.4">
      <c r="L233" s="58"/>
      <c r="M233" s="58"/>
      <c r="N233" s="58" t="s">
        <v>509</v>
      </c>
      <c r="O233" s="94" t="s">
        <v>510</v>
      </c>
      <c r="P233" s="27">
        <f>'[1]Example Crude Property'!D714</f>
        <v>0.37</v>
      </c>
    </row>
    <row r="234" spans="1:16" ht="19.8" thickBot="1" x14ac:dyDescent="0.5">
      <c r="A234" s="100" t="s">
        <v>615</v>
      </c>
      <c r="B234" s="100" t="s">
        <v>616</v>
      </c>
      <c r="C234" s="100"/>
      <c r="D234" s="100"/>
      <c r="E234" s="100"/>
      <c r="P234" s="27"/>
    </row>
    <row r="235" spans="1:16" ht="19.95" customHeight="1" x14ac:dyDescent="0.4">
      <c r="A235" s="101" t="s">
        <v>617</v>
      </c>
      <c r="B235" s="101" t="s">
        <v>42</v>
      </c>
      <c r="C235" s="101" t="s">
        <v>43</v>
      </c>
      <c r="D235" s="101" t="s">
        <v>7</v>
      </c>
      <c r="E235" s="101" t="s">
        <v>618</v>
      </c>
      <c r="L235" s="95" t="s">
        <v>619</v>
      </c>
      <c r="M235" s="95" t="s">
        <v>620</v>
      </c>
      <c r="N235" s="95"/>
      <c r="O235" s="95"/>
      <c r="P235" s="27"/>
    </row>
    <row r="236" spans="1:16" ht="18" customHeight="1" x14ac:dyDescent="0.4">
      <c r="A236" s="102" t="s">
        <v>621</v>
      </c>
      <c r="B236" s="30" t="s">
        <v>622</v>
      </c>
      <c r="C236" s="30" t="s">
        <v>623</v>
      </c>
      <c r="D236" s="103">
        <f>'[1]Key Control'!F102</f>
        <v>258.05</v>
      </c>
      <c r="E236" s="30" t="s">
        <v>54</v>
      </c>
      <c r="L236" s="17" t="s">
        <v>18</v>
      </c>
      <c r="M236" s="17" t="s">
        <v>19</v>
      </c>
      <c r="N236" s="17" t="s">
        <v>20</v>
      </c>
      <c r="O236" s="17" t="s">
        <v>21</v>
      </c>
      <c r="P236" s="18" t="s">
        <v>7</v>
      </c>
    </row>
    <row r="237" spans="1:16" ht="16.05" customHeight="1" x14ac:dyDescent="0.4">
      <c r="A237" s="102" t="s">
        <v>624</v>
      </c>
      <c r="B237" s="30" t="s">
        <v>625</v>
      </c>
      <c r="C237" s="30" t="s">
        <v>626</v>
      </c>
      <c r="D237" s="104">
        <f>'[1]Key Control'!F120</f>
        <v>340.1</v>
      </c>
      <c r="E237" s="30" t="s">
        <v>54</v>
      </c>
      <c r="L237" s="24" t="s">
        <v>46</v>
      </c>
      <c r="M237" s="25" t="s">
        <v>627</v>
      </c>
      <c r="N237" s="25" t="s">
        <v>48</v>
      </c>
      <c r="O237" s="26" t="s">
        <v>49</v>
      </c>
      <c r="P237" s="27">
        <f>'[1]Example Crude Property'!D42</f>
        <v>38.9</v>
      </c>
    </row>
    <row r="238" spans="1:16" ht="16.05" customHeight="1" x14ac:dyDescent="0.4">
      <c r="A238" s="102" t="s">
        <v>628</v>
      </c>
      <c r="B238" s="30" t="s">
        <v>629</v>
      </c>
      <c r="C238" s="30" t="s">
        <v>630</v>
      </c>
      <c r="D238" s="103">
        <f>'[1]Key Control'!F121</f>
        <v>340.1</v>
      </c>
      <c r="E238" s="30" t="s">
        <v>54</v>
      </c>
      <c r="L238" s="31"/>
      <c r="M238" s="31"/>
      <c r="N238" s="31" t="s">
        <v>65</v>
      </c>
      <c r="O238" s="32" t="s">
        <v>49</v>
      </c>
      <c r="P238" s="27">
        <f>'[1]Example Crude Property'!D54</f>
        <v>0.8306</v>
      </c>
    </row>
    <row r="239" spans="1:16" ht="16.05" customHeight="1" x14ac:dyDescent="0.4">
      <c r="A239" s="102" t="s">
        <v>631</v>
      </c>
      <c r="B239" s="30" t="s">
        <v>604</v>
      </c>
      <c r="C239" s="30" t="s">
        <v>632</v>
      </c>
      <c r="D239" s="104">
        <f>'[1]Key Control'!F131</f>
        <v>2.52</v>
      </c>
      <c r="E239" s="30" t="s">
        <v>633</v>
      </c>
      <c r="L239" s="31"/>
      <c r="M239" s="31"/>
      <c r="N239" s="31" t="s">
        <v>76</v>
      </c>
      <c r="O239" s="32" t="s">
        <v>49</v>
      </c>
      <c r="P239" s="27">
        <f>'[1]Example Crude Property'!D51</f>
        <v>3.11</v>
      </c>
    </row>
    <row r="240" spans="1:16" ht="16.05" customHeight="1" x14ac:dyDescent="0.4">
      <c r="A240" s="102" t="s">
        <v>634</v>
      </c>
      <c r="B240" s="30" t="s">
        <v>635</v>
      </c>
      <c r="C240" s="30" t="s">
        <v>636</v>
      </c>
      <c r="D240" s="103">
        <f>'[1]Key Control'!F134</f>
        <v>-3.02</v>
      </c>
      <c r="E240" s="30" t="s">
        <v>637</v>
      </c>
      <c r="L240" s="31"/>
      <c r="M240" s="31"/>
      <c r="N240" s="31" t="s">
        <v>83</v>
      </c>
      <c r="O240" s="32" t="s">
        <v>49</v>
      </c>
      <c r="P240" s="27">
        <f>'[1]Example Crude Property'!D52</f>
        <v>1.39</v>
      </c>
    </row>
    <row r="241" spans="1:16" ht="16.05" customHeight="1" x14ac:dyDescent="0.4">
      <c r="A241" s="102" t="s">
        <v>638</v>
      </c>
      <c r="B241" s="30" t="s">
        <v>611</v>
      </c>
      <c r="C241" s="30" t="s">
        <v>639</v>
      </c>
      <c r="D241" s="103">
        <f>'[1]Key Control'!F135</f>
        <v>6.66</v>
      </c>
      <c r="E241" s="30" t="s">
        <v>640</v>
      </c>
      <c r="L241" s="31"/>
      <c r="M241" s="31"/>
      <c r="N241" s="31" t="s">
        <v>91</v>
      </c>
      <c r="O241" s="32" t="s">
        <v>49</v>
      </c>
      <c r="P241" s="27">
        <f>'[1]Example Crude Property'!D55</f>
        <v>7.7799999999999994E-2</v>
      </c>
    </row>
    <row r="242" spans="1:16" ht="16.05" customHeight="1" x14ac:dyDescent="0.4">
      <c r="A242" s="102" t="s">
        <v>641</v>
      </c>
      <c r="B242" s="30" t="s">
        <v>613</v>
      </c>
      <c r="C242" s="30" t="s">
        <v>642</v>
      </c>
      <c r="D242" s="103">
        <f>'[1]Key Control'!F136</f>
        <v>1.8220000000000001</v>
      </c>
      <c r="E242" s="30" t="s">
        <v>188</v>
      </c>
      <c r="L242" s="31"/>
      <c r="M242" s="31"/>
      <c r="N242" s="31" t="s">
        <v>643</v>
      </c>
      <c r="O242" s="105" t="s">
        <v>644</v>
      </c>
      <c r="P242" s="27">
        <f>'[1]Example Crude Property'!D75</f>
        <v>0.13300000000000001</v>
      </c>
    </row>
    <row r="243" spans="1:16" ht="16.05" customHeight="1" x14ac:dyDescent="0.4">
      <c r="A243" s="106" t="s">
        <v>645</v>
      </c>
      <c r="B243" s="107" t="s">
        <v>579</v>
      </c>
      <c r="C243" s="30" t="s">
        <v>400</v>
      </c>
      <c r="D243" s="97">
        <v>183.71</v>
      </c>
      <c r="E243" s="30" t="s">
        <v>54</v>
      </c>
      <c r="L243" s="31"/>
      <c r="M243" s="31"/>
      <c r="N243" s="31" t="s">
        <v>646</v>
      </c>
      <c r="O243" s="105" t="s">
        <v>644</v>
      </c>
      <c r="P243" s="27">
        <f>'[1]Example Crude Property'!D47</f>
        <v>0.82699999999999996</v>
      </c>
    </row>
    <row r="244" spans="1:16" ht="16.05" customHeight="1" x14ac:dyDescent="0.4">
      <c r="A244" s="106" t="s">
        <v>647</v>
      </c>
      <c r="B244" s="107" t="s">
        <v>580</v>
      </c>
      <c r="C244" s="30" t="s">
        <v>404</v>
      </c>
      <c r="D244" s="97">
        <v>182.9</v>
      </c>
      <c r="E244" s="30" t="s">
        <v>54</v>
      </c>
      <c r="L244" s="31"/>
      <c r="M244" s="31"/>
      <c r="N244" s="31" t="s">
        <v>114</v>
      </c>
      <c r="O244" s="48" t="s">
        <v>99</v>
      </c>
      <c r="P244" s="50"/>
    </row>
    <row r="245" spans="1:16" ht="16.05" customHeight="1" x14ac:dyDescent="0.4">
      <c r="A245" s="106" t="s">
        <v>648</v>
      </c>
      <c r="B245" s="30" t="s">
        <v>334</v>
      </c>
      <c r="C245" s="30" t="s">
        <v>544</v>
      </c>
      <c r="D245" s="30">
        <v>291.05</v>
      </c>
      <c r="E245" s="30" t="s">
        <v>54</v>
      </c>
      <c r="L245" s="52" t="s">
        <v>649</v>
      </c>
      <c r="M245" s="53" t="s">
        <v>650</v>
      </c>
      <c r="N245" s="53" t="s">
        <v>65</v>
      </c>
      <c r="O245" s="54" t="s">
        <v>49</v>
      </c>
      <c r="P245" s="27">
        <f>'[1]Example Crude Property'!D694</f>
        <v>0.88759999999999994</v>
      </c>
    </row>
    <row r="246" spans="1:16" ht="16.05" customHeight="1" x14ac:dyDescent="0.4">
      <c r="A246" s="106" t="s">
        <v>651</v>
      </c>
      <c r="B246" s="30" t="s">
        <v>360</v>
      </c>
      <c r="C246" s="30" t="s">
        <v>546</v>
      </c>
      <c r="D246" s="30">
        <v>389.4</v>
      </c>
      <c r="E246" s="30" t="s">
        <v>54</v>
      </c>
      <c r="L246" s="53"/>
      <c r="M246" s="53"/>
      <c r="N246" s="53" t="s">
        <v>76</v>
      </c>
      <c r="O246" s="54" t="s">
        <v>49</v>
      </c>
      <c r="P246" s="27">
        <f>'[1]Example Crude Property'!D691</f>
        <v>40.299999999999997</v>
      </c>
    </row>
    <row r="247" spans="1:16" ht="16.05" customHeight="1" x14ac:dyDescent="0.4">
      <c r="A247" s="106" t="s">
        <v>652</v>
      </c>
      <c r="B247" s="30" t="s">
        <v>330</v>
      </c>
      <c r="C247" s="30" t="s">
        <v>551</v>
      </c>
      <c r="D247" s="30">
        <v>286.29000000000002</v>
      </c>
      <c r="E247" s="30" t="s">
        <v>54</v>
      </c>
      <c r="L247" s="53"/>
      <c r="M247" s="53"/>
      <c r="N247" s="53" t="s">
        <v>83</v>
      </c>
      <c r="O247" s="54" t="s">
        <v>49</v>
      </c>
      <c r="P247" s="27">
        <f>'[1]Example Crude Property'!D692</f>
        <v>8.6300000000000008</v>
      </c>
    </row>
    <row r="248" spans="1:16" ht="16.05" customHeight="1" x14ac:dyDescent="0.4">
      <c r="A248" s="106" t="s">
        <v>653</v>
      </c>
      <c r="B248" s="30" t="s">
        <v>364</v>
      </c>
      <c r="C248" s="30" t="s">
        <v>552</v>
      </c>
      <c r="D248" s="30">
        <v>370.14</v>
      </c>
      <c r="E248" s="30" t="s">
        <v>54</v>
      </c>
      <c r="L248" s="53"/>
      <c r="M248" s="53"/>
      <c r="N248" s="53" t="s">
        <v>91</v>
      </c>
      <c r="O248" s="54" t="s">
        <v>49</v>
      </c>
      <c r="P248" s="27">
        <f>'[1]Example Crude Property'!D695</f>
        <v>0.14000000000000001</v>
      </c>
    </row>
    <row r="249" spans="1:16" ht="16.05" customHeight="1" x14ac:dyDescent="0.4">
      <c r="A249" s="106" t="s">
        <v>654</v>
      </c>
      <c r="B249" s="30" t="s">
        <v>327</v>
      </c>
      <c r="C249" s="30" t="s">
        <v>558</v>
      </c>
      <c r="D249" s="30">
        <v>286.83999999999997</v>
      </c>
      <c r="E249" s="30" t="s">
        <v>54</v>
      </c>
      <c r="L249" s="53"/>
      <c r="M249" s="53"/>
      <c r="N249" s="53" t="s">
        <v>643</v>
      </c>
      <c r="O249" s="108" t="s">
        <v>644</v>
      </c>
      <c r="P249" s="27">
        <f>'[1]Example Crude Property'!D714</f>
        <v>0.37</v>
      </c>
    </row>
    <row r="250" spans="1:16" ht="16.05" customHeight="1" x14ac:dyDescent="0.4">
      <c r="A250" s="106" t="s">
        <v>655</v>
      </c>
      <c r="B250" s="30" t="s">
        <v>347</v>
      </c>
      <c r="C250" s="30" t="s">
        <v>560</v>
      </c>
      <c r="D250" s="30">
        <v>356.49</v>
      </c>
      <c r="E250" s="30" t="s">
        <v>54</v>
      </c>
      <c r="L250" s="58"/>
      <c r="M250" s="58"/>
      <c r="N250" s="58" t="s">
        <v>646</v>
      </c>
      <c r="O250" s="109" t="s">
        <v>644</v>
      </c>
      <c r="P250" s="27">
        <f>'[1]Example Crude Property'!D686</f>
        <v>2.31</v>
      </c>
    </row>
    <row r="251" spans="1:16" ht="17.399999999999999" thickBot="1" x14ac:dyDescent="0.45">
      <c r="A251" s="106" t="s">
        <v>656</v>
      </c>
      <c r="B251" s="30" t="s">
        <v>324</v>
      </c>
      <c r="C251" s="30" t="s">
        <v>566</v>
      </c>
      <c r="D251" s="30">
        <v>290.3</v>
      </c>
      <c r="E251" s="30" t="s">
        <v>54</v>
      </c>
      <c r="P251" s="27"/>
    </row>
    <row r="252" spans="1:16" ht="19.95" customHeight="1" x14ac:dyDescent="0.4">
      <c r="A252" s="106" t="s">
        <v>657</v>
      </c>
      <c r="B252" s="30" t="s">
        <v>344</v>
      </c>
      <c r="C252" s="30" t="s">
        <v>568</v>
      </c>
      <c r="D252" s="30">
        <v>378.75</v>
      </c>
      <c r="E252" s="30" t="s">
        <v>54</v>
      </c>
      <c r="L252" s="110" t="s">
        <v>519</v>
      </c>
      <c r="M252" s="110" t="s">
        <v>658</v>
      </c>
      <c r="N252" s="110"/>
      <c r="O252" s="110"/>
      <c r="P252" s="27"/>
    </row>
    <row r="253" spans="1:16" ht="18" customHeight="1" x14ac:dyDescent="0.4">
      <c r="L253" s="17" t="s">
        <v>18</v>
      </c>
      <c r="M253" s="17" t="s">
        <v>19</v>
      </c>
      <c r="N253" s="17" t="s">
        <v>20</v>
      </c>
      <c r="O253" s="17" t="s">
        <v>21</v>
      </c>
      <c r="P253" s="18" t="s">
        <v>7</v>
      </c>
    </row>
    <row r="254" spans="1:16" ht="16.05" customHeight="1" x14ac:dyDescent="0.4">
      <c r="L254" s="24" t="s">
        <v>659</v>
      </c>
      <c r="M254" s="25" t="s">
        <v>660</v>
      </c>
      <c r="N254" s="25" t="s">
        <v>661</v>
      </c>
      <c r="O254" s="111" t="s">
        <v>662</v>
      </c>
      <c r="P254" s="50" t="s">
        <v>110</v>
      </c>
    </row>
    <row r="255" spans="1:16" ht="16.05" customHeight="1" x14ac:dyDescent="0.4">
      <c r="L255" s="112" t="s">
        <v>663</v>
      </c>
      <c r="M255" s="58" t="s">
        <v>664</v>
      </c>
      <c r="N255" s="58" t="s">
        <v>661</v>
      </c>
      <c r="O255" s="113" t="s">
        <v>662</v>
      </c>
      <c r="P255" s="50" t="s">
        <v>110</v>
      </c>
    </row>
    <row r="256" spans="1:16" ht="6" customHeight="1" thickBot="1" x14ac:dyDescent="0.45">
      <c r="P256" s="27"/>
    </row>
    <row r="257" spans="12:16" ht="19.95" customHeight="1" x14ac:dyDescent="0.4">
      <c r="L257" s="95" t="s">
        <v>665</v>
      </c>
      <c r="M257" s="95" t="s">
        <v>666</v>
      </c>
      <c r="N257" s="95"/>
      <c r="O257" s="95"/>
      <c r="P257" s="27"/>
    </row>
    <row r="258" spans="12:16" ht="18" customHeight="1" x14ac:dyDescent="0.4">
      <c r="L258" s="17" t="s">
        <v>18</v>
      </c>
      <c r="M258" s="17" t="s">
        <v>19</v>
      </c>
      <c r="N258" s="17" t="s">
        <v>20</v>
      </c>
      <c r="O258" s="17" t="s">
        <v>21</v>
      </c>
      <c r="P258" s="18" t="s">
        <v>7</v>
      </c>
    </row>
    <row r="259" spans="12:16" ht="16.05" customHeight="1" x14ac:dyDescent="0.4">
      <c r="L259" s="24" t="s">
        <v>667</v>
      </c>
      <c r="M259" s="25" t="s">
        <v>668</v>
      </c>
      <c r="N259" s="25" t="s">
        <v>48</v>
      </c>
      <c r="O259" s="26" t="s">
        <v>49</v>
      </c>
      <c r="P259" s="27">
        <f>'[1]Example Crude Property'!D42</f>
        <v>38.9</v>
      </c>
    </row>
    <row r="260" spans="12:16" ht="16.05" customHeight="1" x14ac:dyDescent="0.4">
      <c r="L260" s="31"/>
      <c r="M260" s="31"/>
      <c r="N260" s="31" t="s">
        <v>65</v>
      </c>
      <c r="O260" s="32" t="s">
        <v>49</v>
      </c>
      <c r="P260" s="27">
        <f>'[1]Example Crude Property'!D54</f>
        <v>0.8306</v>
      </c>
    </row>
    <row r="261" spans="12:16" ht="16.05" customHeight="1" x14ac:dyDescent="0.4">
      <c r="L261" s="31"/>
      <c r="M261" s="31"/>
      <c r="N261" s="31" t="s">
        <v>76</v>
      </c>
      <c r="O261" s="32" t="s">
        <v>49</v>
      </c>
      <c r="P261" s="27">
        <f>'[1]Example Crude Property'!D51</f>
        <v>3.11</v>
      </c>
    </row>
    <row r="262" spans="12:16" ht="16.05" customHeight="1" x14ac:dyDescent="0.4">
      <c r="L262" s="31"/>
      <c r="M262" s="31"/>
      <c r="N262" s="31" t="s">
        <v>83</v>
      </c>
      <c r="O262" s="32" t="s">
        <v>49</v>
      </c>
      <c r="P262" s="27">
        <f>'[1]Example Crude Property'!D52</f>
        <v>1.39</v>
      </c>
    </row>
    <row r="263" spans="12:16" ht="16.05" customHeight="1" x14ac:dyDescent="0.4">
      <c r="L263" s="31"/>
      <c r="M263" s="31"/>
      <c r="N263" s="31" t="s">
        <v>91</v>
      </c>
      <c r="O263" s="32" t="s">
        <v>49</v>
      </c>
      <c r="P263" s="27">
        <f>'[1]Example Crude Property'!D55</f>
        <v>7.7799999999999994E-2</v>
      </c>
    </row>
    <row r="264" spans="12:16" ht="16.05" customHeight="1" x14ac:dyDescent="0.4">
      <c r="L264" s="31"/>
      <c r="M264" s="31"/>
      <c r="N264" s="31" t="s">
        <v>98</v>
      </c>
      <c r="O264" s="48" t="s">
        <v>99</v>
      </c>
      <c r="P264" s="27">
        <f>'[1]Example Crude Property'!D75</f>
        <v>0.13300000000000001</v>
      </c>
    </row>
    <row r="265" spans="12:16" ht="16.05" customHeight="1" x14ac:dyDescent="0.4">
      <c r="L265" s="31"/>
      <c r="M265" s="31"/>
      <c r="N265" s="31" t="s">
        <v>106</v>
      </c>
      <c r="O265" s="48" t="s">
        <v>99</v>
      </c>
      <c r="P265" s="27">
        <f>'[1]Example Crude Property'!D47</f>
        <v>0.82699999999999996</v>
      </c>
    </row>
    <row r="266" spans="12:16" ht="16.05" customHeight="1" x14ac:dyDescent="0.4">
      <c r="L266" s="112" t="s">
        <v>669</v>
      </c>
      <c r="M266" s="58" t="s">
        <v>670</v>
      </c>
      <c r="N266" s="58" t="s">
        <v>671</v>
      </c>
      <c r="O266" s="113" t="s">
        <v>662</v>
      </c>
      <c r="P266" s="50" t="s">
        <v>110</v>
      </c>
    </row>
    <row r="267" spans="12:16" ht="6" customHeight="1" x14ac:dyDescent="0.4"/>
  </sheetData>
  <mergeCells count="7">
    <mergeCell ref="G133:J133"/>
    <mergeCell ref="G1:I1"/>
    <mergeCell ref="L1:O1"/>
    <mergeCell ref="V2:AB2"/>
    <mergeCell ref="AC2:AJ2"/>
    <mergeCell ref="R22:AP22"/>
    <mergeCell ref="G105:J10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Yalika Saardmuang (STU546)</dc:creator>
  <cp:lastModifiedBy>Yalika Saardmuang (STU546)</cp:lastModifiedBy>
  <dcterms:created xsi:type="dcterms:W3CDTF">2026-06-30T06:18:11Z</dcterms:created>
  <dcterms:modified xsi:type="dcterms:W3CDTF">2026-06-30T06:20:02Z</dcterms:modified>
</cp:coreProperties>
</file>