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ktop\Bangchak Internship 2026\Data\"/>
    </mc:Choice>
  </mc:AlternateContent>
  <xr:revisionPtr revIDLastSave="0" documentId="13_ncr:1_{1323321F-A941-446F-851C-4D4A0BD21859}" xr6:coauthVersionLast="47" xr6:coauthVersionMax="47" xr10:uidLastSave="{00000000-0000-0000-0000-000000000000}"/>
  <bookViews>
    <workbookView xWindow="-108" yWindow="-108" windowWidth="23256" windowHeight="13896" xr2:uid="{EE751FD8-A172-498E-9587-8D658D54950E}"/>
  </bookViews>
  <sheets>
    <sheet name="Sheet1" sheetId="1" r:id="rId1"/>
  </sheets>
  <externalReferences>
    <externalReference r:id="rId2"/>
  </externalReferences>
  <definedNames>
    <definedName name="_xlnm._FilterDatabase" localSheetId="0" hidden="1">Sheet1!$B$1:$B$252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42" i="1" l="1"/>
  <c r="D241" i="1"/>
  <c r="D240" i="1"/>
  <c r="D239" i="1"/>
  <c r="D238" i="1"/>
  <c r="D237" i="1"/>
  <c r="D236" i="1"/>
  <c r="D231" i="1"/>
  <c r="D230" i="1"/>
  <c r="D226" i="1"/>
  <c r="D225" i="1"/>
  <c r="D224" i="1"/>
  <c r="D223" i="1"/>
  <c r="D219" i="1"/>
  <c r="D218" i="1"/>
  <c r="D217" i="1"/>
  <c r="D216" i="1"/>
  <c r="D212" i="1"/>
  <c r="D211" i="1"/>
  <c r="D210" i="1"/>
  <c r="D209" i="1"/>
  <c r="D200" i="1"/>
  <c r="D199" i="1"/>
  <c r="D198" i="1"/>
  <c r="D197" i="1"/>
  <c r="D193" i="1"/>
  <c r="D192" i="1"/>
  <c r="D191" i="1"/>
  <c r="D190" i="1"/>
  <c r="D186" i="1"/>
  <c r="D185" i="1"/>
  <c r="D184" i="1"/>
  <c r="D183" i="1"/>
  <c r="D179" i="1"/>
  <c r="D178" i="1"/>
  <c r="D177" i="1"/>
  <c r="D176" i="1"/>
  <c r="D172" i="1"/>
  <c r="D171" i="1"/>
  <c r="D170" i="1"/>
  <c r="D169" i="1"/>
  <c r="D168" i="1"/>
  <c r="D163" i="1"/>
  <c r="D162" i="1"/>
  <c r="D161" i="1"/>
  <c r="A157" i="1"/>
  <c r="D156" i="1"/>
  <c r="D155" i="1"/>
  <c r="D154" i="1"/>
  <c r="D153" i="1"/>
  <c r="D152" i="1"/>
  <c r="D151" i="1"/>
  <c r="D150" i="1"/>
  <c r="D149" i="1"/>
  <c r="D144" i="1"/>
  <c r="C144" i="1"/>
  <c r="B144" i="1"/>
  <c r="D143" i="1"/>
  <c r="D142" i="1"/>
  <c r="C142" i="1"/>
  <c r="B142" i="1"/>
  <c r="A142" i="1"/>
  <c r="D141" i="1"/>
  <c r="D140" i="1"/>
  <c r="D134" i="1"/>
  <c r="D133" i="1"/>
  <c r="C133" i="1"/>
  <c r="B133" i="1"/>
  <c r="D132" i="1"/>
  <c r="D131" i="1"/>
  <c r="D127" i="1"/>
  <c r="D126" i="1"/>
  <c r="D125" i="1"/>
  <c r="C124" i="1"/>
  <c r="B124" i="1"/>
  <c r="D123" i="1"/>
  <c r="D122" i="1"/>
  <c r="D118" i="1"/>
  <c r="D136" i="1" s="1"/>
  <c r="D145" i="1" s="1"/>
  <c r="D157" i="1" s="1"/>
  <c r="C118" i="1"/>
  <c r="C136" i="1" s="1"/>
  <c r="C145" i="1" s="1"/>
  <c r="C157" i="1" s="1"/>
  <c r="B118" i="1"/>
  <c r="B136" i="1" s="1"/>
  <c r="B145" i="1" s="1"/>
  <c r="B157" i="1" s="1"/>
  <c r="D116" i="1"/>
  <c r="D115" i="1"/>
  <c r="C115" i="1"/>
  <c r="B115" i="1"/>
  <c r="D114" i="1"/>
  <c r="D113" i="1"/>
  <c r="D124" i="1" s="1"/>
  <c r="D109" i="1"/>
  <c r="C109" i="1"/>
  <c r="B109" i="1"/>
  <c r="D108" i="1"/>
  <c r="D107" i="1"/>
  <c r="D105" i="1"/>
  <c r="D104" i="1"/>
  <c r="D99" i="1"/>
  <c r="D98" i="1"/>
  <c r="A97" i="1"/>
  <c r="D96" i="1"/>
  <c r="D95" i="1"/>
  <c r="D91" i="1"/>
  <c r="D90" i="1"/>
  <c r="D89" i="1"/>
  <c r="D88" i="1"/>
  <c r="D97" i="1" s="1"/>
  <c r="D106" i="1" s="1"/>
  <c r="C88" i="1"/>
  <c r="C97" i="1" s="1"/>
  <c r="C106" i="1" s="1"/>
  <c r="B88" i="1"/>
  <c r="B97" i="1" s="1"/>
  <c r="B106" i="1" s="1"/>
  <c r="D87" i="1"/>
  <c r="D86" i="1"/>
  <c r="D82" i="1"/>
  <c r="C82" i="1"/>
  <c r="B82" i="1"/>
  <c r="D81" i="1"/>
  <c r="D80" i="1"/>
  <c r="D78" i="1"/>
  <c r="D77" i="1"/>
  <c r="D72" i="1"/>
  <c r="D71" i="1"/>
  <c r="D70" i="1"/>
  <c r="D68" i="1"/>
  <c r="D64" i="1"/>
  <c r="D63" i="1"/>
  <c r="D62" i="1"/>
  <c r="D61" i="1"/>
  <c r="D60" i="1"/>
  <c r="D55" i="1"/>
  <c r="D54" i="1"/>
  <c r="D53" i="1"/>
  <c r="D50" i="1"/>
  <c r="D46" i="1"/>
  <c r="D42" i="1"/>
  <c r="D41" i="1"/>
  <c r="D37" i="1"/>
  <c r="D36" i="1"/>
  <c r="D35" i="1"/>
  <c r="D34" i="1"/>
  <c r="D32" i="1"/>
  <c r="D28" i="1"/>
  <c r="D27" i="1"/>
  <c r="D26" i="1"/>
  <c r="D25" i="1"/>
  <c r="D23" i="1"/>
  <c r="D43" i="1" s="1"/>
  <c r="D19" i="1"/>
  <c r="D18" i="1"/>
  <c r="D17" i="1"/>
  <c r="D16" i="1"/>
  <c r="D14" i="1"/>
  <c r="D10" i="1"/>
  <c r="D9" i="1"/>
  <c r="D8" i="1"/>
  <c r="D7" i="1"/>
  <c r="D5" i="1"/>
</calcChain>
</file>

<file path=xl/sharedStrings.xml><?xml version="1.0" encoding="utf-8"?>
<sst xmlns="http://schemas.openxmlformats.org/spreadsheetml/2006/main" count="1055" uniqueCount="491">
  <si>
    <t>Heat Exchanger Breakdown — แยกตามเครื่อง (linked to 'Key Control')</t>
  </si>
  <si>
    <t>📋  UNIQUE TAGS — HX Breakdown  (100 tags, ไม่ซ้ำ)</t>
  </si>
  <si>
    <t>Tag (Parameter)</t>
  </si>
  <si>
    <t>Meaning / ความหมาย</t>
  </si>
  <si>
    <t>Value</t>
  </si>
  <si>
    <t>หมายเหตุ</t>
  </si>
  <si>
    <t>E101AB</t>
  </si>
  <si>
    <t>Preheat Exch-1</t>
  </si>
  <si>
    <t>00FIC001.pv</t>
  </si>
  <si>
    <t>Flow GO (part — compound tag)</t>
  </si>
  <si>
    <t>Side / Stream</t>
  </si>
  <si>
    <t>Parameter</t>
  </si>
  <si>
    <t>Meaning</t>
  </si>
  <si>
    <t>00FIC501.pv</t>
  </si>
  <si>
    <t>Outlet Flow Hot side kero (part — compound tag)</t>
  </si>
  <si>
    <t>Cold (Crude oil)</t>
  </si>
  <si>
    <t>1FI007.pv</t>
  </si>
  <si>
    <t>Inlet flow Cold side</t>
  </si>
  <si>
    <t>1AI001.pv</t>
  </si>
  <si>
    <t>Air Component — O2 / Composition (Flue gas)</t>
  </si>
  <si>
    <t>%O2</t>
  </si>
  <si>
    <t>1TI102</t>
  </si>
  <si>
    <t>Inlet Temp Cold side</t>
  </si>
  <si>
    <t>1FC020.pv</t>
  </si>
  <si>
    <t>Flow Pass 1 (Furnace)</t>
  </si>
  <si>
    <t>t/h</t>
  </si>
  <si>
    <t>1TI101.pv</t>
  </si>
  <si>
    <t>Outlet temp Cold side</t>
  </si>
  <si>
    <t>1FC021.pv</t>
  </si>
  <si>
    <t>Flow Pass 2 (Furnace)</t>
  </si>
  <si>
    <t>Hot (1SR)</t>
  </si>
  <si>
    <t>1TI194.pv</t>
  </si>
  <si>
    <t>Inlet temp Hot side (shared E101)</t>
  </si>
  <si>
    <t>1FC022.pv</t>
  </si>
  <si>
    <t>Flow Pass 3 (Furnace)</t>
  </si>
  <si>
    <t>1TI103.pv</t>
  </si>
  <si>
    <t>Outlet temp Hot side</t>
  </si>
  <si>
    <t>1FC023.pv</t>
  </si>
  <si>
    <t>Flow Pass 4 (Furnace)</t>
  </si>
  <si>
    <t>1FI010.pv</t>
  </si>
  <si>
    <t>Inlet flow Hot side</t>
  </si>
  <si>
    <t>1FC035.pv</t>
  </si>
  <si>
    <t>Flow 3RS out E111 / Inlet E105AB</t>
  </si>
  <si>
    <t>1FC062.pv</t>
  </si>
  <si>
    <t>Flow GO (part — compound tag with 00FIC001)</t>
  </si>
  <si>
    <t>E101CD</t>
  </si>
  <si>
    <t>Inlet flow Cold side (Crude) E101AB</t>
  </si>
  <si>
    <t>m³/h</t>
  </si>
  <si>
    <t>1FI008.pv</t>
  </si>
  <si>
    <t>Inlet flow Cold side (Crude) E101CD</t>
  </si>
  <si>
    <t>1FI009.pv</t>
  </si>
  <si>
    <t>Inlet flow Cold side (Crude) E101EF</t>
  </si>
  <si>
    <t>Inlet flow Hot side (1SR) E101AB</t>
  </si>
  <si>
    <t>1TI104.pv</t>
  </si>
  <si>
    <t>1FI011.pv</t>
  </si>
  <si>
    <t>Inlet flow Hot side (1SR) E101CD</t>
  </si>
  <si>
    <t>1FI012.pv</t>
  </si>
  <si>
    <t>Inlet flow Hot side (1SR) E101EF</t>
  </si>
  <si>
    <t>1TI105.pv</t>
  </si>
  <si>
    <t>1FI015.pv</t>
  </si>
  <si>
    <t>Inlet flow Crude E103AB / E104 / E105AB</t>
  </si>
  <si>
    <t>1FI016.pv</t>
  </si>
  <si>
    <t>Inlet flow Crude E106AB / E107AB / E108AB / E109AB</t>
  </si>
  <si>
    <t>1FI017.pv</t>
  </si>
  <si>
    <t>Inlet flow Crude E110ABC / E111 / E112AB / E112C</t>
  </si>
  <si>
    <t>E101EF</t>
  </si>
  <si>
    <t>1FI018.pv</t>
  </si>
  <si>
    <t>Inlet flow 2RS-1 (E103AB / E104)</t>
  </si>
  <si>
    <t>1FI019.pv</t>
  </si>
  <si>
    <t>Inlet flow 2RS-2 (E106AB)</t>
  </si>
  <si>
    <t>1FI028.pv</t>
  </si>
  <si>
    <t>Flow Fuel Gas to burners (F101)</t>
  </si>
  <si>
    <t>1FC055.pv</t>
  </si>
  <si>
    <t>Outlet Flow Hot side Kero E102 (part — compound tag with 00FIC501)</t>
  </si>
  <si>
    <t>1TI109.pv</t>
  </si>
  <si>
    <t>1FI085.pv</t>
  </si>
  <si>
    <t>Inlet flow Cold side (Crude) E101G</t>
  </si>
  <si>
    <t>1FI086.pv</t>
  </si>
  <si>
    <t>Inlet flow Hot side (1SR) E101G</t>
  </si>
  <si>
    <t>1TI110.pv</t>
  </si>
  <si>
    <t>1HC016.pv</t>
  </si>
  <si>
    <t>Hand Valve Hot side E101G</t>
  </si>
  <si>
    <t>%</t>
  </si>
  <si>
    <t>1PC010.pv</t>
  </si>
  <si>
    <t>Pressure Inlet Fuel Gas (FG line)</t>
  </si>
  <si>
    <t>kg/cm²g</t>
  </si>
  <si>
    <t>1PC034.pv</t>
  </si>
  <si>
    <t>Pressure Control — Furnace Draft</t>
  </si>
  <si>
    <t>mmH2O</t>
  </si>
  <si>
    <t>E101G</t>
  </si>
  <si>
    <t>1PC035.pv</t>
  </si>
  <si>
    <t>Pressure Inlet Combustion Air</t>
  </si>
  <si>
    <t>No information</t>
  </si>
  <si>
    <t>1PI003.pv</t>
  </si>
  <si>
    <t>Pressure Inlet Furnace (from E113A)</t>
  </si>
  <si>
    <t>1PI023.pv</t>
  </si>
  <si>
    <t>Outlet Pressure Furnace</t>
  </si>
  <si>
    <t>1PI055.pv</t>
  </si>
  <si>
    <t>Inlet pressure Residue at E113A</t>
  </si>
  <si>
    <t>1TI015.pv</t>
  </si>
  <si>
    <t>1PI056.pv</t>
  </si>
  <si>
    <t>Outlet pressure after mix (E113A)</t>
  </si>
  <si>
    <t>1TC007.pv</t>
  </si>
  <si>
    <t>COT — Outlet Temp Furnace (Control setpoint)</t>
  </si>
  <si>
    <t>°C</t>
  </si>
  <si>
    <t>Hand Valve Hot side</t>
  </si>
  <si>
    <t>Outlet temp Cold side E101G</t>
  </si>
  <si>
    <t>1TI029.pv</t>
  </si>
  <si>
    <t>SL Flow / Radiation measurement F101</t>
  </si>
  <si>
    <t>Outlet temp Cold side (Crude) E101AB</t>
  </si>
  <si>
    <t>E102</t>
  </si>
  <si>
    <t>Inlet Temp Cold side (Crude) — Tank outlet</t>
  </si>
  <si>
    <t>°C — ไม่มี .pv</t>
  </si>
  <si>
    <t>Outlet temp Hot side (1SR) E101AB</t>
  </si>
  <si>
    <t>1TI107.pv</t>
  </si>
  <si>
    <t>Inlet temp Cold side</t>
  </si>
  <si>
    <t>Outlet temp Cold side (Crude) E101CD</t>
  </si>
  <si>
    <t>1TI106.pv</t>
  </si>
  <si>
    <t>Outlet temp Hot side (1SR) E101CD</t>
  </si>
  <si>
    <t>Inlet Flow Colde side</t>
  </si>
  <si>
    <t>Outlet temp Cold side (Crude) E102</t>
  </si>
  <si>
    <t>Hot</t>
  </si>
  <si>
    <t>1TI165.pv</t>
  </si>
  <si>
    <t>Inlet temp Hot side kero</t>
  </si>
  <si>
    <t>Inlet temp Cold side (Crude) E102</t>
  </si>
  <si>
    <t>1TI108.pv</t>
  </si>
  <si>
    <t>Outlet Temp Hot side kero</t>
  </si>
  <si>
    <t>Outlet Temp Hot side Kero E102</t>
  </si>
  <si>
    <t>1FC055.pv+00FIC501.pv</t>
  </si>
  <si>
    <t>Outlet Flow Hot side kero</t>
  </si>
  <si>
    <t>Outlet temp Cold side (Crude) E101EF</t>
  </si>
  <si>
    <t>Outlet temp Hot side (1SR) E101EF</t>
  </si>
  <si>
    <t>E103AB</t>
  </si>
  <si>
    <t>Preheat Exch-2</t>
  </si>
  <si>
    <t>1TI112.pv</t>
  </si>
  <si>
    <t>Outlet temp Crude E104 / Inlet E105AB</t>
  </si>
  <si>
    <t>1TI113.pv</t>
  </si>
  <si>
    <t>Outlet temp 3RS E105AB / Inlet E111</t>
  </si>
  <si>
    <t>Cold (Crude)</t>
  </si>
  <si>
    <t>Inlet flow Crude</t>
  </si>
  <si>
    <t>1TI114.pv</t>
  </si>
  <si>
    <t>Outlet temp Crude E105AB / E112C</t>
  </si>
  <si>
    <t>1TI225.pv</t>
  </si>
  <si>
    <t>Inlet temp Crude</t>
  </si>
  <si>
    <t>1TI115.pv</t>
  </si>
  <si>
    <t>Inlet temp Crude at E113A</t>
  </si>
  <si>
    <t>1TI136.pv</t>
  </si>
  <si>
    <t>Outlet temp Crude (-&gt;Inlet E104)</t>
  </si>
  <si>
    <t>1TI116.pv</t>
  </si>
  <si>
    <t>CIT — Outlet Crude E113A / Inlet Furnace</t>
  </si>
  <si>
    <t>Hot (2RS-1)</t>
  </si>
  <si>
    <t>4TI107.pv</t>
  </si>
  <si>
    <t>Inlet temp 2RS</t>
  </si>
  <si>
    <t>1TI117.pv</t>
  </si>
  <si>
    <t>Inlet temp Residue (hot side)</t>
  </si>
  <si>
    <t>Inlet flow 2RS-1</t>
  </si>
  <si>
    <t>1TI117B.pv</t>
  </si>
  <si>
    <t>Outlet temp Residue E112C</t>
  </si>
  <si>
    <t>1TI137.pv</t>
  </si>
  <si>
    <t>Outlet temp 2RS-1</t>
  </si>
  <si>
    <t>1TI122.pv</t>
  </si>
  <si>
    <t>Outlet temp Residue E110ABC</t>
  </si>
  <si>
    <t>1TI123.pv</t>
  </si>
  <si>
    <t>Outlet temp Crude E111 / Inlet E112AB/E112C</t>
  </si>
  <si>
    <t>E104</t>
  </si>
  <si>
    <t>1TI124.pv</t>
  </si>
  <si>
    <t>Outlet temp Crude E110ABC / Inlet E111</t>
  </si>
  <si>
    <t>1TI125.pv</t>
  </si>
  <si>
    <t>Outlet temp 3RS E111</t>
  </si>
  <si>
    <t>Inlet temp Crude (from E103AB)</t>
  </si>
  <si>
    <t>1TI126.pv</t>
  </si>
  <si>
    <t>Outlet temp Crude E112AB</t>
  </si>
  <si>
    <t>Outlet temp Crude (-&gt;Inlet E105AB)</t>
  </si>
  <si>
    <t>1TI127.pv</t>
  </si>
  <si>
    <t>Outlet temp Residue E112AB</t>
  </si>
  <si>
    <t>1TI128.pv</t>
  </si>
  <si>
    <t>Outlet temp Crude E106AB / Inlet E107AB</t>
  </si>
  <si>
    <t>Hot (2RS)</t>
  </si>
  <si>
    <t>1TI195.pv</t>
  </si>
  <si>
    <t>1TI129.pv</t>
  </si>
  <si>
    <t>Outlet temp 2RS-2 E106AB</t>
  </si>
  <si>
    <t>4TI115.pv</t>
  </si>
  <si>
    <t>Outlet temp 2RS</t>
  </si>
  <si>
    <t>1TI130.pv</t>
  </si>
  <si>
    <t>Outlet temp Crude E107AB / Inlet E108AB</t>
  </si>
  <si>
    <t>1FI018.pv+1FI019.pv</t>
  </si>
  <si>
    <t>inlet flow 2SR from P104</t>
  </si>
  <si>
    <t>1TI131.pv</t>
  </si>
  <si>
    <t>Outlet temp GO E107AB</t>
  </si>
  <si>
    <t>1TI132.pv</t>
  </si>
  <si>
    <t>Outlet temp Crude E108AB / Inlet E109AB</t>
  </si>
  <si>
    <t>E105AB</t>
  </si>
  <si>
    <t>1TI133.pv</t>
  </si>
  <si>
    <t>Outlet temp Residue E108AB</t>
  </si>
  <si>
    <t>1TI134.pv</t>
  </si>
  <si>
    <t>Outlet temp Crude E109AB</t>
  </si>
  <si>
    <t>Inlet temp Crude (from E104)</t>
  </si>
  <si>
    <t>1TI135.pv</t>
  </si>
  <si>
    <t>Outlet temp GO E109AB / Inlet E107AB</t>
  </si>
  <si>
    <t>1TI114</t>
  </si>
  <si>
    <t>outlet temp E105AB</t>
  </si>
  <si>
    <t>Outlet temp Crude E103AB / Inlet E104</t>
  </si>
  <si>
    <t>Outlet temp 2RS-1 E103AB</t>
  </si>
  <si>
    <t>Hot (3RS)</t>
  </si>
  <si>
    <t>Inlet temp 3RS</t>
  </si>
  <si>
    <t>1TI139.pv</t>
  </si>
  <si>
    <t>Temp 4-1 Tube Furnace Pass 4</t>
  </si>
  <si>
    <t>Outlet temp 3RS (-&gt;Inlet E111)</t>
  </si>
  <si>
    <t>1TI140.pv</t>
  </si>
  <si>
    <t>Temp 3-1 Tube Furnace Pass 3</t>
  </si>
  <si>
    <t>Flow out E111/flow in E105AB</t>
  </si>
  <si>
    <t>1TI141.pv</t>
  </si>
  <si>
    <t>Temp 2-1 Tube Furnace Pass 2</t>
  </si>
  <si>
    <t>1TI142.pv</t>
  </si>
  <si>
    <t>Temp 1-1 Tube Furnace Pass 1</t>
  </si>
  <si>
    <t>E106AB</t>
  </si>
  <si>
    <t>1TI143.pv</t>
  </si>
  <si>
    <t>Temp 2-3 Tube Furnace Pass 2</t>
  </si>
  <si>
    <t>1TI144.pv</t>
  </si>
  <si>
    <t>Temp 3-3 Tube Furnace Pass 3</t>
  </si>
  <si>
    <t>1TI145.pv</t>
  </si>
  <si>
    <t>Temp 4-2 Tube Furnace Pass 4</t>
  </si>
  <si>
    <t>Outlet temp Crude (-&gt;Inlet E107AB)</t>
  </si>
  <si>
    <t>1TI146.pv</t>
  </si>
  <si>
    <t>Temp 3-2 Tube Furnace Pass 3</t>
  </si>
  <si>
    <t>1TI147.pv</t>
  </si>
  <si>
    <t>SHL temp furnace</t>
  </si>
  <si>
    <t>Hot (2RS-2)</t>
  </si>
  <si>
    <t>Inlet flow 2RS-2</t>
  </si>
  <si>
    <t>1TI148.pv</t>
  </si>
  <si>
    <t>Temp 1-3 Tube Furnace Pass 1</t>
  </si>
  <si>
    <t>Outlet temp 2RS-2</t>
  </si>
  <si>
    <t>1TI149.pv</t>
  </si>
  <si>
    <t>Temp 4-3 Tube Furnace Pass 4</t>
  </si>
  <si>
    <t>1TI150.pv</t>
  </si>
  <si>
    <t>COT — Outlet Temp Furnace</t>
  </si>
  <si>
    <t>1TI151.pv</t>
  </si>
  <si>
    <t>Temp 1-2 Tube Furnace Pass 1</t>
  </si>
  <si>
    <t>E107AB</t>
  </si>
  <si>
    <t>1TI152.pv</t>
  </si>
  <si>
    <t>Temp 2-2 Tube Furnace Pass 2</t>
  </si>
  <si>
    <t>1TI153.pv</t>
  </si>
  <si>
    <t>Temp Top Furnace</t>
  </si>
  <si>
    <t>Inlet temp Crude (from E106AB)</t>
  </si>
  <si>
    <t>1TI161.pv</t>
  </si>
  <si>
    <t>Temp From Distillation (Residue inlet)</t>
  </si>
  <si>
    <t>Outlet temp Crude (-&gt;Inlet E108AB)</t>
  </si>
  <si>
    <t>1TI163.pv</t>
  </si>
  <si>
    <t>Inlet temp GO E109AB</t>
  </si>
  <si>
    <t>Inlet temp Hot side Kero E102</t>
  </si>
  <si>
    <t>Hot (GO)</t>
  </si>
  <si>
    <t>Inlet temp GO (from E109AB)</t>
  </si>
  <si>
    <t>1TI182.pv</t>
  </si>
  <si>
    <t>Inlet temp Air Con (out Furnace)</t>
  </si>
  <si>
    <t>Outlet temp GO</t>
  </si>
  <si>
    <t>1TI183.pv</t>
  </si>
  <si>
    <t>Outlet temp Air Fuel E151</t>
  </si>
  <si>
    <t>00FIC001.pv+1FC062.pv</t>
  </si>
  <si>
    <t xml:space="preserve">Flow GO </t>
  </si>
  <si>
    <t>1TI184.pv</t>
  </si>
  <si>
    <t>Temp In F101 (to burners)</t>
  </si>
  <si>
    <t>1TI185.pv</t>
  </si>
  <si>
    <t>Inlet temp Air Fuel E151 (ambient)</t>
  </si>
  <si>
    <t>E108AB</t>
  </si>
  <si>
    <t>Inlet temp Hot side 1SR E101 (shared AB-CD-EF-G)</t>
  </si>
  <si>
    <t>Inlet temp 2RS/3RS (E104 / E105AB)</t>
  </si>
  <si>
    <t>Inlet temp Crude (from E107AB)</t>
  </si>
  <si>
    <t>1TI204.pv</t>
  </si>
  <si>
    <t>Temp Top Radiation Section F101</t>
  </si>
  <si>
    <t>Outlet temp Crude (-&gt;Inlet E109AB)</t>
  </si>
  <si>
    <t>1TI211.pv</t>
  </si>
  <si>
    <t>Outlet temp Air Con E151</t>
  </si>
  <si>
    <t>1TI212.pv</t>
  </si>
  <si>
    <t>Temp Furnace Body 1</t>
  </si>
  <si>
    <t>Hot (Residue)</t>
  </si>
  <si>
    <t>Outlet temp Residue</t>
  </si>
  <si>
    <t>1TI213.pv</t>
  </si>
  <si>
    <t>Temp Furnace Body 2</t>
  </si>
  <si>
    <t>Inlet Temp Residue</t>
  </si>
  <si>
    <t>Desalter Outlet Crude / Preheat-2 Inlet</t>
  </si>
  <si>
    <t>439FI003.pv</t>
  </si>
  <si>
    <t>Flow Residue</t>
  </si>
  <si>
    <t>Inlet temp 2RS (from E404/E401)</t>
  </si>
  <si>
    <t>E109AB</t>
  </si>
  <si>
    <t>Outlet temp 2RS E104</t>
  </si>
  <si>
    <t>1TI138.pv</t>
  </si>
  <si>
    <t>Temp for SR mix (2RS blend after E103/E106)</t>
  </si>
  <si>
    <t>Inlet temp Crude (from E108AB)</t>
  </si>
  <si>
    <t>Outlet temp Crude</t>
  </si>
  <si>
    <t>⚠️  TAGS ใน Key Control ที่ไม่มีใน HX Breakdown  (26 tags — ต้องพิจารณาเพิ่ม)</t>
  </si>
  <si>
    <t>Unit</t>
  </si>
  <si>
    <t>Inlet temp GO</t>
  </si>
  <si>
    <t>1E1005.pv</t>
  </si>
  <si>
    <t>Electrostatic Grid Current/Power 1 (Desalter)</t>
  </si>
  <si>
    <t>A / mA</t>
  </si>
  <si>
    <t>Outlet temp GO (-&gt;Inlet E107AB)</t>
  </si>
  <si>
    <t>1E1006.pv</t>
  </si>
  <si>
    <t>Electrostatic Grid Current/Power 2 (Desalter)</t>
  </si>
  <si>
    <t>1FC001.pv</t>
  </si>
  <si>
    <t>Flow line Tank 1 (Crude feed)</t>
  </si>
  <si>
    <t>1FC002.pv</t>
  </si>
  <si>
    <t>Flow line Tank 2 (Crude feed)</t>
  </si>
  <si>
    <t>E110ABC</t>
  </si>
  <si>
    <t>1FC106.pv</t>
  </si>
  <si>
    <t>Effluent Water Flow from P125 (Desalter)</t>
  </si>
  <si>
    <t>1FC107.pv</t>
  </si>
  <si>
    <t>Mud Wash Out Flow (Desalter)</t>
  </si>
  <si>
    <t>1FC125.pv</t>
  </si>
  <si>
    <t>Injection / Dilution Water Flow (Desalter)</t>
  </si>
  <si>
    <t>Outlet temp Crude (-&gt;Inlet E111)</t>
  </si>
  <si>
    <t>1FV001</t>
  </si>
  <si>
    <t>Control Valve line tank 1 (Crude Tank)</t>
  </si>
  <si>
    <t>1FV002</t>
  </si>
  <si>
    <t>Control Valve line tank 2 (Crude Tank)</t>
  </si>
  <si>
    <t>1HC002.pv</t>
  </si>
  <si>
    <t>Hand Valve Cold side E101AB</t>
  </si>
  <si>
    <t>1HC003.pv</t>
  </si>
  <si>
    <t>Hand Valve Cold side E101CD</t>
  </si>
  <si>
    <t>1HC004.pv</t>
  </si>
  <si>
    <t>Hand Valve Cold side E101EF</t>
  </si>
  <si>
    <t>1HC005.pv</t>
  </si>
  <si>
    <t>Hand Valve Hot side E101AB</t>
  </si>
  <si>
    <t>E111</t>
  </si>
  <si>
    <t>1HC006.pv</t>
  </si>
  <si>
    <t>Hand Valve Hot side E101CD</t>
  </si>
  <si>
    <t>1HC007.pv</t>
  </si>
  <si>
    <t>Hand Valve Hot side E101EF</t>
  </si>
  <si>
    <t>Inlet temp Crude (from E110ABC)</t>
  </si>
  <si>
    <t>1HC015.pv</t>
  </si>
  <si>
    <t>Hand Valve Cold side E101G</t>
  </si>
  <si>
    <t>Outlet temp Crude (-&gt;E112AB/E112C)</t>
  </si>
  <si>
    <t>1LC104.pv</t>
  </si>
  <si>
    <t>Treated Crude Level Control (Desalter)</t>
  </si>
  <si>
    <t>1LI105.pv</t>
  </si>
  <si>
    <t>Desalter Interface / Liquid Level</t>
  </si>
  <si>
    <t>Inlet temp 3RS (from E105AB)</t>
  </si>
  <si>
    <t>1PC128.pv</t>
  </si>
  <si>
    <t>Pressure Treated Crude (Desalter Outlet)</t>
  </si>
  <si>
    <t>bar</t>
  </si>
  <si>
    <t>Outlet temp 3RS</t>
  </si>
  <si>
    <t>1PDC103.pv</t>
  </si>
  <si>
    <t>Mixing Valve Differential Pressure (Desalter)</t>
  </si>
  <si>
    <t>Outlet flow 3RS</t>
  </si>
  <si>
    <t>1PI061.pv</t>
  </si>
  <si>
    <t>Pressure out E112AB (Residue)</t>
  </si>
  <si>
    <t>kg/cm²</t>
  </si>
  <si>
    <t>1PI129A-B-C.pv</t>
  </si>
  <si>
    <t>Pressure Inlet Pump P102A (Desalter outlet pump)</t>
  </si>
  <si>
    <t>E112AB</t>
  </si>
  <si>
    <t>1PT007A.pv</t>
  </si>
  <si>
    <t>Pressure Transmitter — Residue</t>
  </si>
  <si>
    <t>1XI156.pv</t>
  </si>
  <si>
    <t>Electrostatic Transformer 1 Parameter (Desalter)</t>
  </si>
  <si>
    <t>kV</t>
  </si>
  <si>
    <t>Inlet temp Crude (from E111)</t>
  </si>
  <si>
    <t>1XI157.pv</t>
  </si>
  <si>
    <t>Electrostatic Transformer 2 Parameter (Desalter)</t>
  </si>
  <si>
    <t>✅  TAGS ที่พิมพ์ผิด — แก้ไขแล้วทั้งหมด  (3 tags ✓ Fixed)</t>
  </si>
  <si>
    <t>Tag เดิม (ผิด) → Tag ที่ถูกต้อง</t>
  </si>
  <si>
    <t>สถานะ / ตำแหน่งที่แก้</t>
  </si>
  <si>
    <t>Tag ถูกต้อง</t>
  </si>
  <si>
    <t>Inlet temp Residue</t>
  </si>
  <si>
    <t>1F1015.pv  →  1FI015.pv ✓</t>
  </si>
  <si>
    <t>แก้ไขแล้ว — B50, B61, B70 (E103AB / E104 / E105AB)</t>
  </si>
  <si>
    <t>1F1016.pv  →  1FI016.pv ✓</t>
  </si>
  <si>
    <t>แก้ไขแล้ว — B77 (E106AB) + B88/B97/B106 อัปเดตอัตโนมัติ (=B77 chain)</t>
  </si>
  <si>
    <t>1F1017.pv  →  1FI017.pv ✓</t>
  </si>
  <si>
    <t>แก้ไขแล้ว — B113 (E110ABC) + B124/B133/B142 อัปเดตอัตโนมัติ (=B113)</t>
  </si>
  <si>
    <t>E112C</t>
  </si>
  <si>
    <t>E113A</t>
  </si>
  <si>
    <t>Outlet temp Crude (CIT before Furnace)</t>
  </si>
  <si>
    <t>1FI015.pv+1FI017.pv+1FI016.pv</t>
  </si>
  <si>
    <t>Inlet Flow Crude</t>
  </si>
  <si>
    <t>Pressure Inlet Furnace</t>
  </si>
  <si>
    <t>Inlet pressure Residue</t>
  </si>
  <si>
    <t>Outlet pressure after mix</t>
  </si>
  <si>
    <t>From Distillation temp</t>
  </si>
  <si>
    <t>E151</t>
  </si>
  <si>
    <t>Furnace Air Preheater</t>
  </si>
  <si>
    <t>Air Fuel</t>
  </si>
  <si>
    <t>Inlet temp Air Fuel</t>
  </si>
  <si>
    <t>Outlet temp Air Fuel</t>
  </si>
  <si>
    <t>Air Con</t>
  </si>
  <si>
    <t>Outlet temp Air Con</t>
  </si>
  <si>
    <t>Air Coon</t>
  </si>
  <si>
    <t>1TI 182.pv</t>
  </si>
  <si>
    <t>Inlet temp Air Con</t>
  </si>
  <si>
    <t>F101 - Crude (Inlet/Outlet)</t>
  </si>
  <si>
    <t>Furnace</t>
  </si>
  <si>
    <t>Crude</t>
  </si>
  <si>
    <t>Inlet Temp Furnace (from E113A)</t>
  </si>
  <si>
    <t>Inlet Pressure</t>
  </si>
  <si>
    <t>Outlet Temp</t>
  </si>
  <si>
    <t>Outlet Temp (Control)</t>
  </si>
  <si>
    <t>Outlet Pressure</t>
  </si>
  <si>
    <t>F101 - Pass 1 (Crude)</t>
  </si>
  <si>
    <t>Pass 1</t>
  </si>
  <si>
    <t>Flow Pass 1</t>
  </si>
  <si>
    <t>Temp 1-1</t>
  </si>
  <si>
    <t>Temp 1-2</t>
  </si>
  <si>
    <t>Temp 1-3</t>
  </si>
  <si>
    <t>F101 - Pass 2 (Crude)</t>
  </si>
  <si>
    <t>Pass 2</t>
  </si>
  <si>
    <t>Flow Pass 2</t>
  </si>
  <si>
    <t>Temp 2-1</t>
  </si>
  <si>
    <t>Temp 2-2</t>
  </si>
  <si>
    <t>Temp 2-3</t>
  </si>
  <si>
    <t>F101 - Pass 3 (Crude)</t>
  </si>
  <si>
    <t>Pass 3</t>
  </si>
  <si>
    <t>Flow Pass 3</t>
  </si>
  <si>
    <t>Temp 3-1</t>
  </si>
  <si>
    <t>Temp 3-2</t>
  </si>
  <si>
    <t>Temp 3-3</t>
  </si>
  <si>
    <t>F101 - Pass 4 (Crude)</t>
  </si>
  <si>
    <t>Pass 4</t>
  </si>
  <si>
    <t>Flow Pass 4</t>
  </si>
  <si>
    <t>Temp 4-1</t>
  </si>
  <si>
    <t>Temp 4-2</t>
  </si>
  <si>
    <t>Temp 4-3</t>
  </si>
  <si>
    <t>F101 - SL Convection Zone</t>
  </si>
  <si>
    <t>SL</t>
  </si>
  <si>
    <t>SL Flow Radiation</t>
  </si>
  <si>
    <t>SHL</t>
  </si>
  <si>
    <t>F101 - Body / Radiation</t>
  </si>
  <si>
    <t>Body</t>
  </si>
  <si>
    <t>1TI212</t>
  </si>
  <si>
    <t>1TI213</t>
  </si>
  <si>
    <t>Top</t>
  </si>
  <si>
    <t>1TI153</t>
  </si>
  <si>
    <t>Radiation</t>
  </si>
  <si>
    <t>1TI204</t>
  </si>
  <si>
    <t>Temp Top Radiation Section</t>
  </si>
  <si>
    <t>Air Fuel (Combustion Air)</t>
  </si>
  <si>
    <t>Furnace / E151</t>
  </si>
  <si>
    <t>1PC035</t>
  </si>
  <si>
    <t>Pressure Inlet Air</t>
  </si>
  <si>
    <t>1TI185</t>
  </si>
  <si>
    <t>Temp In E151 (ambient)</t>
  </si>
  <si>
    <t>1TI183</t>
  </si>
  <si>
    <t>Temp Out E151</t>
  </si>
  <si>
    <t>1TI184</t>
  </si>
  <si>
    <t>Air Con (Flue/Convection Air)</t>
  </si>
  <si>
    <t>1TI182</t>
  </si>
  <si>
    <t>Temp Air Con out Furnace</t>
  </si>
  <si>
    <t>1TI211</t>
  </si>
  <si>
    <t>1AI001</t>
  </si>
  <si>
    <t>Air Component (O2/composition)</t>
  </si>
  <si>
    <t>PC034</t>
  </si>
  <si>
    <t>Pressure Control</t>
  </si>
  <si>
    <t>FG (Fuel Gas)</t>
  </si>
  <si>
    <t>FG</t>
  </si>
  <si>
    <t>1FI028</t>
  </si>
  <si>
    <t>Flow</t>
  </si>
  <si>
    <t>1PC010</t>
  </si>
  <si>
    <t>Pressure Inlet</t>
  </si>
  <si>
    <t>Key Constraints (Furnace) — Constraint 1</t>
  </si>
  <si>
    <t>Operational Limits</t>
  </si>
  <si>
    <t>Constraint</t>
  </si>
  <si>
    <t>Unit / Note</t>
  </si>
  <si>
    <t>CIT (Coil Inlet Temp)</t>
  </si>
  <si>
    <t>1TI116</t>
  </si>
  <si>
    <t>Inlet temp Furnace (from E113A)</t>
  </si>
  <si>
    <t>COT (Coil Outlet Temp)</t>
  </si>
  <si>
    <t>1TI150</t>
  </si>
  <si>
    <t>Outlet temp Furnace</t>
  </si>
  <si>
    <t>COT (Control)</t>
  </si>
  <si>
    <t>1TC007</t>
  </si>
  <si>
    <t>Outlet temp control setpoint</t>
  </si>
  <si>
    <t>Air Composition</t>
  </si>
  <si>
    <t>O2 / Air component analyzer</t>
  </si>
  <si>
    <t>%O2 in flue gas</t>
  </si>
  <si>
    <t>Pressure Control (Draft)</t>
  </si>
  <si>
    <t>1PC034</t>
  </si>
  <si>
    <t>Furnace draft pressure control</t>
  </si>
  <si>
    <t>mmH2O / kPa</t>
  </si>
  <si>
    <t>FG Flow</t>
  </si>
  <si>
    <t>Fuel Gas flow to burners</t>
  </si>
  <si>
    <t>t/h or Nm³/h</t>
  </si>
  <si>
    <t>FG Pressure</t>
  </si>
  <si>
    <t>Fuel Gas inlet pressure control</t>
  </si>
  <si>
    <t>Body Pressure furnace 1</t>
  </si>
  <si>
    <t>Body Pressure furnace 2</t>
  </si>
  <si>
    <t>Pass 1 Temp tube In</t>
  </si>
  <si>
    <t>Pass 1 Temp tube Out</t>
  </si>
  <si>
    <t>Pass 2 Temp tube In</t>
  </si>
  <si>
    <t>Pass 2 Temp tube Out</t>
  </si>
  <si>
    <t>Pass 3 Temp tube In</t>
  </si>
  <si>
    <t>Pass 3 Temp tube Out</t>
  </si>
  <si>
    <t>Pass 4 Temp tube In</t>
  </si>
  <si>
    <t>Pass 4 Temp tube Out</t>
  </si>
  <si>
    <t>1FI005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</si>
</sst>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b/>
      <sz val="14"/>
      <color theme="1"/>
      <name val="Aptos Narrow"/>
      <family val="2"/>
      <charset val="222"/>
      <scheme val="minor"/>
    </font>
    <font>
      <b/>
      <sz val="12"/>
      <color rgb="FFFFFFFF"/>
      <name val="Aptos Narrow"/>
      <family val="2"/>
      <charset val="222"/>
      <scheme val="minor"/>
    </font>
    <font>
      <b/>
      <sz val="11"/>
      <color rgb="FFFFFFFF"/>
      <name val="Aptos Narrow"/>
      <family val="2"/>
      <charset val="222"/>
      <scheme val="minor"/>
    </font>
    <font>
      <sz val="11"/>
      <color rgb="FF000000"/>
      <name val="Aptos Narrow"/>
      <family val="2"/>
      <charset val="222"/>
      <scheme val="minor"/>
    </font>
    <font>
      <sz val="11"/>
      <color rgb="FF7F6000"/>
      <name val="Aptos Narrow"/>
      <family val="2"/>
      <charset val="22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600000"/>
      <name val="Aptos Narrow"/>
      <family val="2"/>
      <charset val="222"/>
      <scheme val="minor"/>
    </font>
    <font>
      <sz val="11"/>
      <color rgb="FF375623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FF7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AEA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4" fillId="4" borderId="0" xfId="0" applyFont="1" applyFill="1"/>
    <xf numFmtId="0" fontId="5" fillId="5" borderId="1" xfId="0" applyFont="1" applyFill="1" applyBorder="1"/>
    <xf numFmtId="0" fontId="1" fillId="6" borderId="1" xfId="0" applyFont="1" applyFill="1" applyBorder="1" applyAlignment="1">
      <alignment horizontal="center"/>
    </xf>
    <xf numFmtId="0" fontId="6" fillId="7" borderId="1" xfId="0" applyFont="1" applyFill="1" applyBorder="1"/>
    <xf numFmtId="0" fontId="0" fillId="0" borderId="1" xfId="0" applyBorder="1"/>
    <xf numFmtId="0" fontId="5" fillId="8" borderId="1" xfId="0" applyFont="1" applyFill="1" applyBorder="1"/>
    <xf numFmtId="0" fontId="4" fillId="9" borderId="1" xfId="0" applyFont="1" applyFill="1" applyBorder="1"/>
    <xf numFmtId="0" fontId="4" fillId="9" borderId="0" xfId="0" applyFont="1" applyFill="1"/>
    <xf numFmtId="0" fontId="0" fillId="10" borderId="2" xfId="0" applyFill="1" applyBorder="1" applyAlignment="1">
      <alignment horizontal="center"/>
    </xf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7" fillId="8" borderId="1" xfId="0" applyFont="1" applyFill="1" applyBorder="1"/>
    <xf numFmtId="0" fontId="8" fillId="0" borderId="1" xfId="0" applyFont="1" applyBorder="1"/>
    <xf numFmtId="0" fontId="0" fillId="0" borderId="1" xfId="0" applyBorder="1" applyAlignment="1">
      <alignment horizontal="right"/>
    </xf>
    <xf numFmtId="0" fontId="0" fillId="13" borderId="1" xfId="0" applyFill="1" applyBorder="1"/>
    <xf numFmtId="0" fontId="0" fillId="14" borderId="1" xfId="0" applyFill="1" applyBorder="1"/>
    <xf numFmtId="0" fontId="9" fillId="15" borderId="1" xfId="0" applyFont="1" applyFill="1" applyBorder="1"/>
    <xf numFmtId="0" fontId="4" fillId="17" borderId="1" xfId="0" applyFont="1" applyFill="1" applyBorder="1"/>
    <xf numFmtId="11" fontId="9" fillId="18" borderId="1" xfId="0" applyNumberFormat="1" applyFont="1" applyFill="1" applyBorder="1"/>
    <xf numFmtId="0" fontId="9" fillId="18" borderId="1" xfId="0" applyFont="1" applyFill="1" applyBorder="1"/>
    <xf numFmtId="11" fontId="9" fillId="15" borderId="1" xfId="0" applyNumberFormat="1" applyFont="1" applyFill="1" applyBorder="1"/>
    <xf numFmtId="0" fontId="9" fillId="15" borderId="3" xfId="0" applyFont="1" applyFill="1" applyBorder="1"/>
    <xf numFmtId="0" fontId="4" fillId="20" borderId="1" xfId="0" applyFont="1" applyFill="1" applyBorder="1"/>
    <xf numFmtId="0" fontId="10" fillId="21" borderId="1" xfId="0" applyFont="1" applyFill="1" applyBorder="1"/>
    <xf numFmtId="2" fontId="0" fillId="0" borderId="1" xfId="0" applyNumberFormat="1" applyBorder="1"/>
    <xf numFmtId="0" fontId="4" fillId="22" borderId="1" xfId="0" applyFont="1" applyFill="1" applyBorder="1"/>
    <xf numFmtId="0" fontId="1" fillId="23" borderId="1" xfId="0" applyFont="1" applyFill="1" applyBorder="1" applyAlignment="1">
      <alignment horizontal="center"/>
    </xf>
    <xf numFmtId="0" fontId="3" fillId="16" borderId="1" xfId="0" applyFont="1" applyFill="1" applyBorder="1"/>
    <xf numFmtId="0" fontId="1" fillId="24" borderId="1" xfId="0" applyFont="1" applyFill="1" applyBorder="1" applyAlignment="1">
      <alignment horizontal="center"/>
    </xf>
    <xf numFmtId="0" fontId="1" fillId="7" borderId="1" xfId="0" applyFont="1" applyFill="1" applyBorder="1"/>
    <xf numFmtId="2" fontId="1" fillId="0" borderId="1" xfId="0" applyNumberFormat="1" applyFont="1" applyBorder="1"/>
    <xf numFmtId="0" fontId="1" fillId="0" borderId="1" xfId="0" applyFont="1" applyBorder="1"/>
    <xf numFmtId="0" fontId="11" fillId="25" borderId="1" xfId="0" applyFont="1" applyFill="1" applyBorder="1"/>
    <xf numFmtId="0" fontId="0" fillId="26" borderId="1" xfId="0" applyFill="1" applyBorder="1"/>
    <xf numFmtId="0" fontId="3" fillId="2" borderId="1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0" fontId="3" fillId="19" borderId="4" xfId="0" applyFont="1" applyFill="1" applyBorder="1" applyAlignment="1">
      <alignment horizontal="center"/>
    </xf>
    <xf numFmtId="0" fontId="3" fillId="19" borderId="5" xfId="0" applyFont="1" applyFill="1" applyBorder="1" applyAlignment="1">
      <alignment horizontal="center"/>
    </xf>
    <xf numFmtId="0" fontId="3" fillId="19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Optimization%20Crude%20Preheat%20Train%20Bangchak/Data%20Parameter%20For%20Project%20bangchak.xlsx" TargetMode="External"/><Relationship Id="rId2" Type="http://schemas.openxmlformats.org/officeDocument/2006/relationships/externalLinkPath" Target="file:///C:\Desktop\Bangchak%20Internship%202026\Optimization%20Crude%20Preheat%20Train%20Bangchak\Data%20Parameter%20For%20Project%20bangchak.xlsx" TargetMode="External"/><Relationship Id="rId1" Type="http://schemas.openxmlformats.org/officeDocument/2006/relationships/externalLinkPath" Target="/Desktop/Bangchak%20Internship%202026/Optimization%20Crude%20Preheat%20Train%20Bangchak/Data%20Parameter%20For%20Project%20bangcha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 Sheet"/>
      <sheetName val="Key Control"/>
      <sheetName val="Key vessel"/>
      <sheetName val="HX Breakdown"/>
      <sheetName val="Equations &amp; Calc"/>
      <sheetName val="Crude Property"/>
      <sheetName val="Example Crude Property"/>
      <sheetName val="Calulation HX"/>
    </sheetNames>
    <sheetDataSet>
      <sheetData sheetId="0"/>
      <sheetData sheetId="1">
        <row r="9">
          <cell r="F9">
            <v>194.2</v>
          </cell>
        </row>
        <row r="11">
          <cell r="F11">
            <v>94.38</v>
          </cell>
        </row>
        <row r="12">
          <cell r="F12">
            <v>157.1</v>
          </cell>
        </row>
        <row r="14">
          <cell r="F14">
            <v>97.06</v>
          </cell>
        </row>
        <row r="15">
          <cell r="F15">
            <v>188.7</v>
          </cell>
        </row>
        <row r="17">
          <cell r="F17">
            <v>83.81</v>
          </cell>
        </row>
        <row r="18">
          <cell r="F18">
            <v>-133.32</v>
          </cell>
        </row>
        <row r="20">
          <cell r="F20">
            <v>36.020000000000003</v>
          </cell>
        </row>
        <row r="21">
          <cell r="F21">
            <v>116.43</v>
          </cell>
        </row>
        <row r="22">
          <cell r="F22">
            <v>91.64</v>
          </cell>
        </row>
        <row r="23">
          <cell r="F23">
            <v>92.57</v>
          </cell>
        </row>
        <row r="24">
          <cell r="F24">
            <v>88.67</v>
          </cell>
        </row>
        <row r="28">
          <cell r="F28">
            <v>-6.9</v>
          </cell>
        </row>
        <row r="29">
          <cell r="F29">
            <v>431.7</v>
          </cell>
        </row>
        <row r="30">
          <cell r="F30">
            <v>468.2</v>
          </cell>
        </row>
        <row r="31">
          <cell r="F31">
            <v>325</v>
          </cell>
        </row>
        <row r="32">
          <cell r="F32">
            <v>-106.01</v>
          </cell>
        </row>
        <row r="33">
          <cell r="F33">
            <v>91.58</v>
          </cell>
        </row>
        <row r="34">
          <cell r="F34">
            <v>99.69</v>
          </cell>
        </row>
        <row r="60">
          <cell r="F60">
            <v>154.5</v>
          </cell>
        </row>
        <row r="61">
          <cell r="F61">
            <v>141.19999999999999</v>
          </cell>
        </row>
        <row r="62">
          <cell r="F62">
            <v>235.4</v>
          </cell>
        </row>
        <row r="63">
          <cell r="F63">
            <v>144.09</v>
          </cell>
        </row>
        <row r="64">
          <cell r="F64">
            <v>173.38</v>
          </cell>
        </row>
        <row r="66">
          <cell r="F66">
            <v>173.33</v>
          </cell>
        </row>
        <row r="67">
          <cell r="F67">
            <v>183.34</v>
          </cell>
        </row>
        <row r="68">
          <cell r="F68">
            <v>181.45</v>
          </cell>
        </row>
        <row r="69">
          <cell r="F69">
            <v>210.06</v>
          </cell>
        </row>
        <row r="70">
          <cell r="F70">
            <v>230.5</v>
          </cell>
        </row>
        <row r="71">
          <cell r="F71">
            <v>243</v>
          </cell>
        </row>
        <row r="72">
          <cell r="F72">
            <v>241.93</v>
          </cell>
        </row>
        <row r="73">
          <cell r="F73">
            <v>239.22</v>
          </cell>
        </row>
        <row r="74">
          <cell r="F74">
            <v>258.05</v>
          </cell>
        </row>
        <row r="75">
          <cell r="F75">
            <v>18.170000000000002</v>
          </cell>
        </row>
        <row r="76">
          <cell r="F76">
            <v>7.63</v>
          </cell>
        </row>
        <row r="77">
          <cell r="F77">
            <v>280.13</v>
          </cell>
        </row>
        <row r="78">
          <cell r="F78">
            <v>6.14</v>
          </cell>
        </row>
        <row r="79">
          <cell r="F79">
            <v>332.24</v>
          </cell>
        </row>
        <row r="80">
          <cell r="F80">
            <v>231.78</v>
          </cell>
        </row>
        <row r="82">
          <cell r="F82">
            <v>35.36</v>
          </cell>
        </row>
        <row r="83">
          <cell r="F83">
            <v>197.98</v>
          </cell>
        </row>
        <row r="85">
          <cell r="F85">
            <v>138.94999999999999</v>
          </cell>
        </row>
        <row r="86">
          <cell r="F86">
            <v>222.4</v>
          </cell>
        </row>
        <row r="87">
          <cell r="F87">
            <v>196.46</v>
          </cell>
        </row>
        <row r="88">
          <cell r="F88">
            <v>184.64</v>
          </cell>
        </row>
        <row r="89">
          <cell r="F89">
            <v>136.4</v>
          </cell>
        </row>
        <row r="90">
          <cell r="F90">
            <v>222.4</v>
          </cell>
        </row>
        <row r="91">
          <cell r="F91">
            <v>177</v>
          </cell>
        </row>
        <row r="92">
          <cell r="F92">
            <v>156.93</v>
          </cell>
        </row>
        <row r="93">
          <cell r="F93">
            <v>155.6</v>
          </cell>
        </row>
        <row r="94">
          <cell r="F94">
            <v>108.96</v>
          </cell>
        </row>
        <row r="95">
          <cell r="F95">
            <v>169.8</v>
          </cell>
        </row>
        <row r="96">
          <cell r="F96">
            <v>119.06</v>
          </cell>
        </row>
        <row r="98">
          <cell r="F98">
            <v>319.38</v>
          </cell>
        </row>
        <row r="99">
          <cell r="F99">
            <v>215.7</v>
          </cell>
        </row>
        <row r="100">
          <cell r="F100">
            <v>149.62</v>
          </cell>
        </row>
        <row r="102">
          <cell r="F102">
            <v>258.05</v>
          </cell>
        </row>
        <row r="103">
          <cell r="F103">
            <v>18.170000000000002</v>
          </cell>
        </row>
        <row r="104">
          <cell r="F104">
            <v>130.6</v>
          </cell>
        </row>
        <row r="105">
          <cell r="F105">
            <v>131.69999999999999</v>
          </cell>
        </row>
        <row r="106">
          <cell r="F106">
            <v>131.69999999999999</v>
          </cell>
        </row>
        <row r="107">
          <cell r="F107">
            <v>131.80000000000001</v>
          </cell>
        </row>
        <row r="108">
          <cell r="F108">
            <v>291.05</v>
          </cell>
        </row>
        <row r="109">
          <cell r="F109">
            <v>286.29000000000002</v>
          </cell>
        </row>
        <row r="110">
          <cell r="F110">
            <v>286.83999999999997</v>
          </cell>
        </row>
        <row r="111">
          <cell r="F111">
            <v>290.3</v>
          </cell>
        </row>
        <row r="112">
          <cell r="F112">
            <v>389.4</v>
          </cell>
        </row>
        <row r="113">
          <cell r="F113">
            <v>370.14</v>
          </cell>
        </row>
        <row r="114">
          <cell r="F114">
            <v>356.49</v>
          </cell>
        </row>
        <row r="115">
          <cell r="F115">
            <v>378.75</v>
          </cell>
        </row>
        <row r="116">
          <cell r="F116">
            <v>356.36</v>
          </cell>
        </row>
        <row r="117">
          <cell r="F117">
            <v>335.61</v>
          </cell>
        </row>
        <row r="118">
          <cell r="F118">
            <v>335</v>
          </cell>
        </row>
        <row r="119">
          <cell r="F119">
            <v>345.41</v>
          </cell>
        </row>
        <row r="120">
          <cell r="F120">
            <v>340.1</v>
          </cell>
        </row>
        <row r="121">
          <cell r="F121">
            <v>340.1</v>
          </cell>
        </row>
        <row r="122">
          <cell r="F122">
            <v>0.71399999999999997</v>
          </cell>
        </row>
        <row r="123">
          <cell r="F123">
            <v>183.71</v>
          </cell>
        </row>
        <row r="124">
          <cell r="F124">
            <v>182.9</v>
          </cell>
        </row>
        <row r="125">
          <cell r="F125">
            <v>28.1</v>
          </cell>
        </row>
        <row r="126">
          <cell r="F126">
            <v>39.86</v>
          </cell>
        </row>
        <row r="127">
          <cell r="F127">
            <v>227.74</v>
          </cell>
        </row>
        <row r="128">
          <cell r="F128">
            <v>232.63</v>
          </cell>
        </row>
        <row r="129">
          <cell r="F129">
            <v>324.27999999999997</v>
          </cell>
        </row>
        <row r="130">
          <cell r="F130">
            <v>154.88</v>
          </cell>
        </row>
        <row r="131">
          <cell r="F131">
            <v>2.52</v>
          </cell>
        </row>
        <row r="132">
          <cell r="F132">
            <v>347.98</v>
          </cell>
        </row>
        <row r="133">
          <cell r="F133">
            <v>412.35</v>
          </cell>
        </row>
        <row r="134">
          <cell r="F134">
            <v>-3.02</v>
          </cell>
        </row>
        <row r="135">
          <cell r="F135">
            <v>6.66</v>
          </cell>
        </row>
        <row r="136">
          <cell r="F136">
            <v>1.8220000000000001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9455B-1F14-4F0F-A97F-78826FFD22D3}">
  <dimension ref="A1:J252"/>
  <sheetViews>
    <sheetView tabSelected="1" topLeftCell="A63" zoomScale="91" zoomScaleNormal="70" workbookViewId="0">
      <selection activeCell="B79" sqref="B79"/>
    </sheetView>
  </sheetViews>
  <sheetFormatPr defaultRowHeight="16.8" x14ac:dyDescent="0.4"/>
  <cols>
    <col min="1" max="1" width="21.69921875" customWidth="1"/>
    <col min="2" max="2" width="27.3984375" bestFit="1" customWidth="1"/>
    <col min="3" max="3" width="46.69921875" customWidth="1"/>
    <col min="4" max="4" width="13.296875" customWidth="1"/>
    <col min="5" max="5" width="20" customWidth="1"/>
    <col min="7" max="7" width="25" customWidth="1"/>
    <col min="8" max="8" width="50" customWidth="1"/>
    <col min="9" max="9" width="11.69921875" customWidth="1"/>
    <col min="10" max="10" width="23.296875" customWidth="1"/>
  </cols>
  <sheetData>
    <row r="1" spans="1:10" ht="20.399999999999999" x14ac:dyDescent="0.45">
      <c r="A1" s="1" t="s">
        <v>0</v>
      </c>
      <c r="G1" s="40" t="s">
        <v>1</v>
      </c>
      <c r="H1" s="40"/>
      <c r="I1" s="40"/>
      <c r="J1" s="2"/>
    </row>
    <row r="2" spans="1:10" x14ac:dyDescent="0.4">
      <c r="G2" s="3" t="s">
        <v>2</v>
      </c>
      <c r="H2" s="3" t="s">
        <v>3</v>
      </c>
      <c r="I2" s="3" t="s">
        <v>4</v>
      </c>
      <c r="J2" s="3" t="s">
        <v>5</v>
      </c>
    </row>
    <row r="3" spans="1:10" x14ac:dyDescent="0.4">
      <c r="A3" s="4" t="s">
        <v>6</v>
      </c>
      <c r="B3" s="4" t="s">
        <v>7</v>
      </c>
      <c r="C3" s="4"/>
      <c r="D3" s="4"/>
      <c r="E3" s="5"/>
      <c r="G3" s="6" t="s">
        <v>8</v>
      </c>
      <c r="H3" s="6" t="s">
        <v>9</v>
      </c>
      <c r="I3" s="6">
        <v>67.099999999999994</v>
      </c>
      <c r="J3" s="6"/>
    </row>
    <row r="4" spans="1:10" x14ac:dyDescent="0.4">
      <c r="A4" s="7" t="s">
        <v>10</v>
      </c>
      <c r="B4" s="7" t="s">
        <v>11</v>
      </c>
      <c r="C4" s="7" t="s">
        <v>12</v>
      </c>
      <c r="D4" s="7" t="s">
        <v>4</v>
      </c>
      <c r="G4" s="8" t="s">
        <v>13</v>
      </c>
      <c r="H4" s="8" t="s">
        <v>14</v>
      </c>
      <c r="I4" s="8">
        <v>109</v>
      </c>
      <c r="J4" s="8"/>
    </row>
    <row r="5" spans="1:10" x14ac:dyDescent="0.4">
      <c r="A5" s="9" t="s">
        <v>15</v>
      </c>
      <c r="B5" s="9" t="s">
        <v>16</v>
      </c>
      <c r="C5" s="9" t="s">
        <v>17</v>
      </c>
      <c r="D5" s="9">
        <f>'[1]Key Control'!F9</f>
        <v>194.2</v>
      </c>
      <c r="G5" s="8" t="s">
        <v>18</v>
      </c>
      <c r="H5" s="8" t="s">
        <v>19</v>
      </c>
      <c r="I5" s="8">
        <v>2.52</v>
      </c>
      <c r="J5" s="8" t="s">
        <v>20</v>
      </c>
    </row>
    <row r="6" spans="1:10" x14ac:dyDescent="0.4">
      <c r="A6" s="9" t="s">
        <v>15</v>
      </c>
      <c r="B6" s="9" t="s">
        <v>21</v>
      </c>
      <c r="C6" s="9" t="s">
        <v>22</v>
      </c>
      <c r="D6" s="9">
        <v>37.44</v>
      </c>
      <c r="G6" s="6" t="s">
        <v>23</v>
      </c>
      <c r="H6" s="6" t="s">
        <v>24</v>
      </c>
      <c r="I6" s="6">
        <v>130.6</v>
      </c>
      <c r="J6" s="6" t="s">
        <v>25</v>
      </c>
    </row>
    <row r="7" spans="1:10" x14ac:dyDescent="0.4">
      <c r="A7" s="9" t="s">
        <v>15</v>
      </c>
      <c r="B7" s="9" t="s">
        <v>26</v>
      </c>
      <c r="C7" s="9" t="s">
        <v>27</v>
      </c>
      <c r="D7" s="9">
        <f>'[1]Key Control'!F11</f>
        <v>94.38</v>
      </c>
      <c r="G7" s="10" t="s">
        <v>28</v>
      </c>
      <c r="H7" s="10" t="s">
        <v>29</v>
      </c>
      <c r="I7" s="10">
        <v>131.69999999999999</v>
      </c>
      <c r="J7" s="10" t="s">
        <v>25</v>
      </c>
    </row>
    <row r="8" spans="1:10" x14ac:dyDescent="0.4">
      <c r="A8" s="9" t="s">
        <v>30</v>
      </c>
      <c r="B8" s="9" t="s">
        <v>31</v>
      </c>
      <c r="C8" s="9" t="s">
        <v>32</v>
      </c>
      <c r="D8" s="9">
        <f>'[1]Key Control'!F21</f>
        <v>116.43</v>
      </c>
      <c r="G8" s="6" t="s">
        <v>33</v>
      </c>
      <c r="H8" s="6" t="s">
        <v>34</v>
      </c>
      <c r="I8" s="6">
        <v>131.69999999999999</v>
      </c>
      <c r="J8" s="6" t="s">
        <v>25</v>
      </c>
    </row>
    <row r="9" spans="1:10" x14ac:dyDescent="0.4">
      <c r="A9" s="9" t="s">
        <v>30</v>
      </c>
      <c r="B9" s="9" t="s">
        <v>35</v>
      </c>
      <c r="C9" s="9" t="s">
        <v>36</v>
      </c>
      <c r="D9" s="9">
        <f>'[1]Key Control'!F22</f>
        <v>91.64</v>
      </c>
      <c r="G9" s="10" t="s">
        <v>37</v>
      </c>
      <c r="H9" s="10" t="s">
        <v>38</v>
      </c>
      <c r="I9" s="10">
        <v>131.80000000000001</v>
      </c>
      <c r="J9" s="10" t="s">
        <v>25</v>
      </c>
    </row>
    <row r="10" spans="1:10" x14ac:dyDescent="0.4">
      <c r="A10" s="9" t="s">
        <v>30</v>
      </c>
      <c r="B10" s="9" t="s">
        <v>39</v>
      </c>
      <c r="C10" s="9" t="s">
        <v>40</v>
      </c>
      <c r="D10" s="9">
        <f>'[1]Key Control'!F29</f>
        <v>431.7</v>
      </c>
      <c r="G10" s="6" t="s">
        <v>41</v>
      </c>
      <c r="H10" s="6" t="s">
        <v>42</v>
      </c>
      <c r="I10" s="6">
        <v>136.4</v>
      </c>
      <c r="J10" s="6" t="s">
        <v>25</v>
      </c>
    </row>
    <row r="11" spans="1:10" x14ac:dyDescent="0.4">
      <c r="A11" s="9"/>
      <c r="B11" s="9"/>
      <c r="C11" s="9"/>
      <c r="D11" s="9"/>
      <c r="G11" s="10" t="s">
        <v>43</v>
      </c>
      <c r="H11" s="10" t="s">
        <v>44</v>
      </c>
      <c r="I11" s="10">
        <v>67.099999999999994</v>
      </c>
      <c r="J11" s="10" t="s">
        <v>25</v>
      </c>
    </row>
    <row r="12" spans="1:10" x14ac:dyDescent="0.4">
      <c r="A12" s="4" t="s">
        <v>45</v>
      </c>
      <c r="B12" s="4" t="s">
        <v>7</v>
      </c>
      <c r="C12" s="4"/>
      <c r="D12" s="4"/>
      <c r="E12" s="5"/>
      <c r="G12" s="6" t="s">
        <v>16</v>
      </c>
      <c r="H12" s="6" t="s">
        <v>46</v>
      </c>
      <c r="I12" s="6">
        <v>194.2</v>
      </c>
      <c r="J12" s="6" t="s">
        <v>47</v>
      </c>
    </row>
    <row r="13" spans="1:10" x14ac:dyDescent="0.4">
      <c r="A13" s="7" t="s">
        <v>10</v>
      </c>
      <c r="B13" s="7" t="s">
        <v>11</v>
      </c>
      <c r="C13" s="7" t="s">
        <v>12</v>
      </c>
      <c r="D13" s="7" t="s">
        <v>4</v>
      </c>
      <c r="G13" s="10" t="s">
        <v>48</v>
      </c>
      <c r="H13" s="10" t="s">
        <v>49</v>
      </c>
      <c r="I13" s="10">
        <v>157.1</v>
      </c>
      <c r="J13" s="10" t="s">
        <v>47</v>
      </c>
    </row>
    <row r="14" spans="1:10" x14ac:dyDescent="0.4">
      <c r="A14" s="9" t="s">
        <v>15</v>
      </c>
      <c r="B14" s="9" t="s">
        <v>48</v>
      </c>
      <c r="C14" s="9" t="s">
        <v>17</v>
      </c>
      <c r="D14" s="9">
        <f>'[1]Key Control'!F12</f>
        <v>157.1</v>
      </c>
      <c r="G14" s="6" t="s">
        <v>50</v>
      </c>
      <c r="H14" s="6" t="s">
        <v>51</v>
      </c>
      <c r="I14" s="6">
        <v>188.7</v>
      </c>
      <c r="J14" s="6" t="s">
        <v>47</v>
      </c>
    </row>
    <row r="15" spans="1:10" x14ac:dyDescent="0.4">
      <c r="A15" s="9" t="s">
        <v>15</v>
      </c>
      <c r="B15" s="9" t="s">
        <v>21</v>
      </c>
      <c r="C15" s="9" t="s">
        <v>22</v>
      </c>
      <c r="D15" s="9">
        <v>37.44</v>
      </c>
      <c r="G15" s="10" t="s">
        <v>39</v>
      </c>
      <c r="H15" s="10" t="s">
        <v>52</v>
      </c>
      <c r="I15" s="10">
        <v>431.7</v>
      </c>
      <c r="J15" s="10" t="s">
        <v>47</v>
      </c>
    </row>
    <row r="16" spans="1:10" x14ac:dyDescent="0.4">
      <c r="A16" s="9" t="s">
        <v>15</v>
      </c>
      <c r="B16" s="9" t="s">
        <v>53</v>
      </c>
      <c r="C16" s="9" t="s">
        <v>27</v>
      </c>
      <c r="D16" s="9">
        <f>'[1]Key Control'!F14</f>
        <v>97.06</v>
      </c>
      <c r="G16" s="6" t="s">
        <v>54</v>
      </c>
      <c r="H16" s="6" t="s">
        <v>55</v>
      </c>
      <c r="I16" s="6">
        <v>468.2</v>
      </c>
      <c r="J16" s="6" t="s">
        <v>47</v>
      </c>
    </row>
    <row r="17" spans="1:10" x14ac:dyDescent="0.4">
      <c r="A17" s="9" t="s">
        <v>30</v>
      </c>
      <c r="B17" s="9" t="s">
        <v>31</v>
      </c>
      <c r="C17" s="9" t="s">
        <v>32</v>
      </c>
      <c r="D17" s="9">
        <f>'[1]Key Control'!F21</f>
        <v>116.43</v>
      </c>
      <c r="G17" s="10" t="s">
        <v>56</v>
      </c>
      <c r="H17" s="10" t="s">
        <v>57</v>
      </c>
      <c r="I17" s="10">
        <v>325</v>
      </c>
      <c r="J17" s="10" t="s">
        <v>47</v>
      </c>
    </row>
    <row r="18" spans="1:10" x14ac:dyDescent="0.4">
      <c r="A18" s="9" t="s">
        <v>30</v>
      </c>
      <c r="B18" s="9" t="s">
        <v>58</v>
      </c>
      <c r="C18" s="9" t="s">
        <v>36</v>
      </c>
      <c r="D18" s="9">
        <f>'[1]Key Control'!F23</f>
        <v>92.57</v>
      </c>
      <c r="G18" s="6" t="s">
        <v>59</v>
      </c>
      <c r="H18" s="6" t="s">
        <v>60</v>
      </c>
      <c r="I18" s="6">
        <v>235.4</v>
      </c>
      <c r="J18" s="6" t="s">
        <v>47</v>
      </c>
    </row>
    <row r="19" spans="1:10" x14ac:dyDescent="0.4">
      <c r="A19" s="9" t="s">
        <v>30</v>
      </c>
      <c r="B19" s="9" t="s">
        <v>54</v>
      </c>
      <c r="C19" s="9" t="s">
        <v>40</v>
      </c>
      <c r="D19" s="9">
        <f>'[1]Key Control'!F30</f>
        <v>468.2</v>
      </c>
      <c r="G19" s="10" t="s">
        <v>61</v>
      </c>
      <c r="H19" s="10" t="s">
        <v>62</v>
      </c>
      <c r="I19" s="10">
        <v>154.5</v>
      </c>
      <c r="J19" s="10" t="s">
        <v>47</v>
      </c>
    </row>
    <row r="20" spans="1:10" x14ac:dyDescent="0.4">
      <c r="A20" s="9"/>
      <c r="B20" s="9"/>
      <c r="C20" s="9"/>
      <c r="D20" s="9"/>
      <c r="G20" s="6" t="s">
        <v>63</v>
      </c>
      <c r="H20" s="6" t="s">
        <v>64</v>
      </c>
      <c r="I20" s="6">
        <v>141.19999999999999</v>
      </c>
      <c r="J20" s="6" t="s">
        <v>47</v>
      </c>
    </row>
    <row r="21" spans="1:10" x14ac:dyDescent="0.4">
      <c r="A21" s="4" t="s">
        <v>65</v>
      </c>
      <c r="B21" s="4" t="s">
        <v>7</v>
      </c>
      <c r="C21" s="4"/>
      <c r="D21" s="4"/>
      <c r="E21" s="5"/>
      <c r="G21" s="10" t="s">
        <v>66</v>
      </c>
      <c r="H21" s="10" t="s">
        <v>67</v>
      </c>
      <c r="I21" s="10">
        <v>155.6</v>
      </c>
      <c r="J21" s="10" t="s">
        <v>47</v>
      </c>
    </row>
    <row r="22" spans="1:10" x14ac:dyDescent="0.4">
      <c r="A22" s="7" t="s">
        <v>10</v>
      </c>
      <c r="B22" s="7" t="s">
        <v>11</v>
      </c>
      <c r="C22" s="7" t="s">
        <v>12</v>
      </c>
      <c r="D22" s="7" t="s">
        <v>4</v>
      </c>
      <c r="G22" s="6" t="s">
        <v>68</v>
      </c>
      <c r="H22" s="6" t="s">
        <v>69</v>
      </c>
      <c r="I22" s="6">
        <v>169.8</v>
      </c>
      <c r="J22" s="6" t="s">
        <v>47</v>
      </c>
    </row>
    <row r="23" spans="1:10" x14ac:dyDescent="0.4">
      <c r="A23" s="9" t="s">
        <v>15</v>
      </c>
      <c r="B23" s="9" t="s">
        <v>50</v>
      </c>
      <c r="C23" s="9" t="s">
        <v>17</v>
      </c>
      <c r="D23" s="9">
        <f>'[1]Key Control'!F15</f>
        <v>188.7</v>
      </c>
      <c r="G23" s="10" t="s">
        <v>70</v>
      </c>
      <c r="H23" s="10" t="s">
        <v>71</v>
      </c>
      <c r="I23" s="10">
        <v>6.66</v>
      </c>
      <c r="J23" s="10" t="s">
        <v>25</v>
      </c>
    </row>
    <row r="24" spans="1:10" x14ac:dyDescent="0.4">
      <c r="A24" s="9" t="s">
        <v>15</v>
      </c>
      <c r="B24" s="9" t="s">
        <v>21</v>
      </c>
      <c r="C24" s="9" t="s">
        <v>22</v>
      </c>
      <c r="D24" s="9">
        <v>37.44</v>
      </c>
      <c r="G24" s="6" t="s">
        <v>72</v>
      </c>
      <c r="H24" s="6" t="s">
        <v>73</v>
      </c>
      <c r="I24" s="6">
        <v>109</v>
      </c>
      <c r="J24" s="6" t="s">
        <v>25</v>
      </c>
    </row>
    <row r="25" spans="1:10" x14ac:dyDescent="0.4">
      <c r="A25" s="9" t="s">
        <v>15</v>
      </c>
      <c r="B25" s="9" t="s">
        <v>74</v>
      </c>
      <c r="C25" s="9" t="s">
        <v>27</v>
      </c>
      <c r="D25" s="9">
        <f>'[1]Key Control'!F17</f>
        <v>83.81</v>
      </c>
      <c r="G25" s="10" t="s">
        <v>75</v>
      </c>
      <c r="H25" s="10" t="s">
        <v>76</v>
      </c>
      <c r="I25" s="10">
        <v>-133.32</v>
      </c>
      <c r="J25" s="10" t="s">
        <v>47</v>
      </c>
    </row>
    <row r="26" spans="1:10" x14ac:dyDescent="0.4">
      <c r="A26" s="9" t="s">
        <v>30</v>
      </c>
      <c r="B26" s="9" t="s">
        <v>31</v>
      </c>
      <c r="C26" s="9" t="s">
        <v>32</v>
      </c>
      <c r="D26" s="9">
        <f>'[1]Key Control'!F21</f>
        <v>116.43</v>
      </c>
      <c r="G26" s="6" t="s">
        <v>77</v>
      </c>
      <c r="H26" s="6" t="s">
        <v>78</v>
      </c>
      <c r="I26" s="6">
        <v>-106.01</v>
      </c>
      <c r="J26" s="6" t="s">
        <v>47</v>
      </c>
    </row>
    <row r="27" spans="1:10" x14ac:dyDescent="0.4">
      <c r="A27" s="9" t="s">
        <v>30</v>
      </c>
      <c r="B27" s="9" t="s">
        <v>79</v>
      </c>
      <c r="C27" s="9" t="s">
        <v>36</v>
      </c>
      <c r="D27" s="9">
        <f>'[1]Key Control'!F24</f>
        <v>88.67</v>
      </c>
      <c r="G27" s="10" t="s">
        <v>80</v>
      </c>
      <c r="H27" s="10" t="s">
        <v>81</v>
      </c>
      <c r="I27" s="10">
        <v>-6.9</v>
      </c>
      <c r="J27" s="10" t="s">
        <v>82</v>
      </c>
    </row>
    <row r="28" spans="1:10" x14ac:dyDescent="0.4">
      <c r="A28" s="9" t="s">
        <v>30</v>
      </c>
      <c r="B28" s="9" t="s">
        <v>56</v>
      </c>
      <c r="C28" s="9" t="s">
        <v>40</v>
      </c>
      <c r="D28" s="9">
        <f>'[1]Key Control'!F31</f>
        <v>325</v>
      </c>
      <c r="G28" s="6" t="s">
        <v>83</v>
      </c>
      <c r="H28" s="6" t="s">
        <v>84</v>
      </c>
      <c r="I28" s="6">
        <v>1.8220000000000001</v>
      </c>
      <c r="J28" s="6" t="s">
        <v>85</v>
      </c>
    </row>
    <row r="29" spans="1:10" x14ac:dyDescent="0.4">
      <c r="A29" s="9"/>
      <c r="B29" s="9"/>
      <c r="C29" s="9"/>
      <c r="D29" s="9"/>
      <c r="G29" s="10" t="s">
        <v>86</v>
      </c>
      <c r="H29" s="10" t="s">
        <v>87</v>
      </c>
      <c r="I29" s="10">
        <v>-3.02</v>
      </c>
      <c r="J29" s="10" t="s">
        <v>88</v>
      </c>
    </row>
    <row r="30" spans="1:10" x14ac:dyDescent="0.4">
      <c r="A30" s="11" t="s">
        <v>89</v>
      </c>
      <c r="B30" s="11" t="s">
        <v>7</v>
      </c>
      <c r="C30" s="11"/>
      <c r="D30" s="11"/>
      <c r="E30" s="12"/>
      <c r="G30" s="6" t="s">
        <v>90</v>
      </c>
      <c r="H30" s="6" t="s">
        <v>91</v>
      </c>
      <c r="I30" s="6">
        <v>28.1</v>
      </c>
      <c r="J30" s="6" t="s">
        <v>88</v>
      </c>
    </row>
    <row r="31" spans="1:10" x14ac:dyDescent="0.4">
      <c r="A31" s="7" t="s">
        <v>10</v>
      </c>
      <c r="B31" s="7" t="s">
        <v>11</v>
      </c>
      <c r="C31" s="7" t="s">
        <v>12</v>
      </c>
      <c r="D31" s="7" t="s">
        <v>4</v>
      </c>
      <c r="E31" s="13" t="s">
        <v>92</v>
      </c>
      <c r="G31" s="10" t="s">
        <v>93</v>
      </c>
      <c r="H31" s="10" t="s">
        <v>94</v>
      </c>
      <c r="I31" s="10">
        <v>18.170000000000002</v>
      </c>
      <c r="J31" s="10" t="s">
        <v>85</v>
      </c>
    </row>
    <row r="32" spans="1:10" x14ac:dyDescent="0.4">
      <c r="A32" s="14" t="s">
        <v>15</v>
      </c>
      <c r="B32" s="14" t="s">
        <v>75</v>
      </c>
      <c r="C32" s="14" t="s">
        <v>17</v>
      </c>
      <c r="D32" s="14">
        <f>'[1]Key Control'!F18</f>
        <v>-133.32</v>
      </c>
      <c r="E32" s="13" t="s">
        <v>92</v>
      </c>
      <c r="G32" s="6" t="s">
        <v>95</v>
      </c>
      <c r="H32" s="6" t="s">
        <v>96</v>
      </c>
      <c r="I32" s="6">
        <v>0.71399999999999997</v>
      </c>
      <c r="J32" s="6" t="s">
        <v>85</v>
      </c>
    </row>
    <row r="33" spans="1:10" x14ac:dyDescent="0.4">
      <c r="A33" s="14" t="s">
        <v>15</v>
      </c>
      <c r="B33" s="14" t="s">
        <v>21</v>
      </c>
      <c r="C33" s="14" t="s">
        <v>22</v>
      </c>
      <c r="D33" s="14">
        <v>37.44</v>
      </c>
      <c r="E33" s="13" t="s">
        <v>92</v>
      </c>
      <c r="G33" s="10" t="s">
        <v>97</v>
      </c>
      <c r="H33" s="10" t="s">
        <v>98</v>
      </c>
      <c r="I33" s="10">
        <v>7.63</v>
      </c>
      <c r="J33" s="10" t="s">
        <v>85</v>
      </c>
    </row>
    <row r="34" spans="1:10" x14ac:dyDescent="0.4">
      <c r="A34" s="14" t="s">
        <v>15</v>
      </c>
      <c r="B34" s="14" t="s">
        <v>99</v>
      </c>
      <c r="C34" s="14" t="s">
        <v>27</v>
      </c>
      <c r="D34" s="14">
        <f>'[1]Key Control'!F20</f>
        <v>36.020000000000003</v>
      </c>
      <c r="E34" s="13" t="s">
        <v>92</v>
      </c>
      <c r="G34" s="6" t="s">
        <v>100</v>
      </c>
      <c r="H34" s="6" t="s">
        <v>101</v>
      </c>
      <c r="I34" s="6">
        <v>6.14</v>
      </c>
      <c r="J34" s="6" t="s">
        <v>85</v>
      </c>
    </row>
    <row r="35" spans="1:10" x14ac:dyDescent="0.4">
      <c r="A35" s="14" t="s">
        <v>30</v>
      </c>
      <c r="B35" s="14" t="s">
        <v>31</v>
      </c>
      <c r="C35" s="14" t="s">
        <v>32</v>
      </c>
      <c r="D35" s="14">
        <f>'[1]Key Control'!F21</f>
        <v>116.43</v>
      </c>
      <c r="E35" s="13" t="s">
        <v>92</v>
      </c>
      <c r="G35" s="10" t="s">
        <v>102</v>
      </c>
      <c r="H35" s="10" t="s">
        <v>103</v>
      </c>
      <c r="I35" s="10">
        <v>340.1</v>
      </c>
      <c r="J35" s="10" t="s">
        <v>104</v>
      </c>
    </row>
    <row r="36" spans="1:10" x14ac:dyDescent="0.4">
      <c r="A36" s="14" t="s">
        <v>30</v>
      </c>
      <c r="B36" s="14" t="s">
        <v>80</v>
      </c>
      <c r="C36" s="14" t="s">
        <v>105</v>
      </c>
      <c r="D36" s="14">
        <f>'[1]Key Control'!F28</f>
        <v>-6.9</v>
      </c>
      <c r="E36" s="13" t="s">
        <v>92</v>
      </c>
      <c r="G36" s="6" t="s">
        <v>99</v>
      </c>
      <c r="H36" s="6" t="s">
        <v>106</v>
      </c>
      <c r="I36" s="6">
        <v>36.020000000000003</v>
      </c>
      <c r="J36" s="6" t="s">
        <v>104</v>
      </c>
    </row>
    <row r="37" spans="1:10" x14ac:dyDescent="0.4">
      <c r="A37" s="14" t="s">
        <v>30</v>
      </c>
      <c r="B37" s="14" t="s">
        <v>77</v>
      </c>
      <c r="C37" s="14" t="s">
        <v>40</v>
      </c>
      <c r="D37" s="14">
        <f>'[1]Key Control'!F32</f>
        <v>-106.01</v>
      </c>
      <c r="E37" s="13" t="s">
        <v>92</v>
      </c>
      <c r="G37" s="10" t="s">
        <v>107</v>
      </c>
      <c r="H37" s="10" t="s">
        <v>108</v>
      </c>
      <c r="I37" s="10">
        <v>6806</v>
      </c>
      <c r="J37" s="10"/>
    </row>
    <row r="38" spans="1:10" x14ac:dyDescent="0.4">
      <c r="A38" s="9"/>
      <c r="B38" s="9"/>
      <c r="C38" s="9"/>
      <c r="D38" s="9"/>
      <c r="G38" s="6" t="s">
        <v>26</v>
      </c>
      <c r="H38" s="6" t="s">
        <v>109</v>
      </c>
      <c r="I38" s="6">
        <v>94.38</v>
      </c>
      <c r="J38" s="6" t="s">
        <v>104</v>
      </c>
    </row>
    <row r="39" spans="1:10" x14ac:dyDescent="0.4">
      <c r="A39" s="4" t="s">
        <v>110</v>
      </c>
      <c r="B39" s="4" t="s">
        <v>7</v>
      </c>
      <c r="C39" s="4"/>
      <c r="D39" s="4"/>
      <c r="E39" s="5"/>
      <c r="G39" s="10" t="s">
        <v>21</v>
      </c>
      <c r="H39" s="10" t="s">
        <v>111</v>
      </c>
      <c r="I39" s="10">
        <v>37.44</v>
      </c>
      <c r="J39" s="10" t="s">
        <v>112</v>
      </c>
    </row>
    <row r="40" spans="1:10" x14ac:dyDescent="0.4">
      <c r="A40" s="7" t="s">
        <v>10</v>
      </c>
      <c r="B40" s="7" t="s">
        <v>11</v>
      </c>
      <c r="C40" s="7" t="s">
        <v>12</v>
      </c>
      <c r="D40" s="7" t="s">
        <v>4</v>
      </c>
      <c r="G40" s="6" t="s">
        <v>35</v>
      </c>
      <c r="H40" s="6" t="s">
        <v>113</v>
      </c>
      <c r="I40" s="6">
        <v>91.64</v>
      </c>
      <c r="J40" s="6" t="s">
        <v>104</v>
      </c>
    </row>
    <row r="41" spans="1:10" x14ac:dyDescent="0.4">
      <c r="A41" s="9" t="s">
        <v>15</v>
      </c>
      <c r="B41" s="9" t="s">
        <v>114</v>
      </c>
      <c r="C41" s="9" t="s">
        <v>115</v>
      </c>
      <c r="D41" s="9">
        <f>'[1]Key Control'!F33</f>
        <v>91.58</v>
      </c>
      <c r="G41" s="10" t="s">
        <v>53</v>
      </c>
      <c r="H41" s="10" t="s">
        <v>116</v>
      </c>
      <c r="I41" s="10">
        <v>97.06</v>
      </c>
      <c r="J41" s="10" t="s">
        <v>104</v>
      </c>
    </row>
    <row r="42" spans="1:10" x14ac:dyDescent="0.4">
      <c r="A42" s="9" t="s">
        <v>15</v>
      </c>
      <c r="B42" s="9" t="s">
        <v>117</v>
      </c>
      <c r="C42" s="9" t="s">
        <v>27</v>
      </c>
      <c r="D42" s="9">
        <f>'[1]Key Control'!F34</f>
        <v>99.69</v>
      </c>
      <c r="G42" s="6" t="s">
        <v>58</v>
      </c>
      <c r="H42" s="6" t="s">
        <v>118</v>
      </c>
      <c r="I42" s="6">
        <v>92.57</v>
      </c>
      <c r="J42" s="6" t="s">
        <v>104</v>
      </c>
    </row>
    <row r="43" spans="1:10" x14ac:dyDescent="0.4">
      <c r="A43" s="9" t="s">
        <v>15</v>
      </c>
      <c r="B43" s="15" t="s">
        <v>490</v>
      </c>
      <c r="C43" s="9" t="s">
        <v>119</v>
      </c>
      <c r="D43" s="15">
        <f>D5+D14+D23</f>
        <v>540</v>
      </c>
      <c r="G43" s="10" t="s">
        <v>117</v>
      </c>
      <c r="H43" s="10" t="s">
        <v>120</v>
      </c>
      <c r="I43" s="10">
        <v>99.69</v>
      </c>
      <c r="J43" s="10" t="s">
        <v>104</v>
      </c>
    </row>
    <row r="44" spans="1:10" x14ac:dyDescent="0.4">
      <c r="A44" s="9" t="s">
        <v>121</v>
      </c>
      <c r="B44" s="16" t="s">
        <v>122</v>
      </c>
      <c r="C44" s="9" t="s">
        <v>123</v>
      </c>
      <c r="D44" s="9">
        <v>144.56</v>
      </c>
      <c r="G44" s="6" t="s">
        <v>114</v>
      </c>
      <c r="H44" s="6" t="s">
        <v>124</v>
      </c>
      <c r="I44" s="6">
        <v>91.58</v>
      </c>
      <c r="J44" s="6" t="s">
        <v>104</v>
      </c>
    </row>
    <row r="45" spans="1:10" x14ac:dyDescent="0.4">
      <c r="A45" s="9" t="s">
        <v>121</v>
      </c>
      <c r="B45" s="16" t="s">
        <v>125</v>
      </c>
      <c r="C45" s="9" t="s">
        <v>126</v>
      </c>
      <c r="D45" s="9">
        <v>103.11</v>
      </c>
      <c r="G45" s="10" t="s">
        <v>125</v>
      </c>
      <c r="H45" s="10" t="s">
        <v>127</v>
      </c>
      <c r="I45" s="10">
        <v>103.11</v>
      </c>
      <c r="J45" s="10" t="s">
        <v>104</v>
      </c>
    </row>
    <row r="46" spans="1:10" x14ac:dyDescent="0.4">
      <c r="A46" s="9" t="s">
        <v>121</v>
      </c>
      <c r="B46" s="16" t="s">
        <v>128</v>
      </c>
      <c r="C46" s="9" t="s">
        <v>129</v>
      </c>
      <c r="D46" s="9">
        <f>64+45</f>
        <v>109</v>
      </c>
      <c r="G46" s="6" t="s">
        <v>74</v>
      </c>
      <c r="H46" s="6" t="s">
        <v>130</v>
      </c>
      <c r="I46" s="6">
        <v>83.81</v>
      </c>
      <c r="J46" s="6" t="s">
        <v>104</v>
      </c>
    </row>
    <row r="47" spans="1:10" x14ac:dyDescent="0.4">
      <c r="A47" s="9"/>
      <c r="B47" s="9"/>
      <c r="C47" s="9"/>
      <c r="D47" s="9"/>
      <c r="G47" s="10" t="s">
        <v>79</v>
      </c>
      <c r="H47" s="10" t="s">
        <v>131</v>
      </c>
      <c r="I47" s="10">
        <v>88.67</v>
      </c>
      <c r="J47" s="10" t="s">
        <v>104</v>
      </c>
    </row>
    <row r="48" spans="1:10" x14ac:dyDescent="0.4">
      <c r="A48" s="4" t="s">
        <v>132</v>
      </c>
      <c r="B48" s="4" t="s">
        <v>133</v>
      </c>
      <c r="C48" s="4"/>
      <c r="D48" s="4"/>
      <c r="E48" s="5"/>
      <c r="G48" s="6" t="s">
        <v>134</v>
      </c>
      <c r="H48" s="6" t="s">
        <v>135</v>
      </c>
      <c r="I48" s="6">
        <v>181.45</v>
      </c>
      <c r="J48" s="6" t="s">
        <v>104</v>
      </c>
    </row>
    <row r="49" spans="1:10" x14ac:dyDescent="0.4">
      <c r="A49" s="7" t="s">
        <v>10</v>
      </c>
      <c r="B49" s="7" t="s">
        <v>11</v>
      </c>
      <c r="C49" s="7" t="s">
        <v>12</v>
      </c>
      <c r="D49" s="7" t="s">
        <v>4</v>
      </c>
      <c r="G49" s="10" t="s">
        <v>136</v>
      </c>
      <c r="H49" s="10" t="s">
        <v>137</v>
      </c>
      <c r="I49" s="10">
        <v>196.46</v>
      </c>
      <c r="J49" s="10" t="s">
        <v>104</v>
      </c>
    </row>
    <row r="50" spans="1:10" x14ac:dyDescent="0.4">
      <c r="A50" s="9" t="s">
        <v>138</v>
      </c>
      <c r="B50" s="9" t="s">
        <v>59</v>
      </c>
      <c r="C50" s="9" t="s">
        <v>139</v>
      </c>
      <c r="D50" s="9">
        <f>'[1]Key Control'!F62</f>
        <v>235.4</v>
      </c>
      <c r="G50" s="6" t="s">
        <v>140</v>
      </c>
      <c r="H50" s="6" t="s">
        <v>141</v>
      </c>
      <c r="I50" s="6">
        <v>241.93</v>
      </c>
      <c r="J50" s="6" t="s">
        <v>104</v>
      </c>
    </row>
    <row r="51" spans="1:10" x14ac:dyDescent="0.4">
      <c r="A51" s="9" t="s">
        <v>138</v>
      </c>
      <c r="B51" s="9" t="s">
        <v>142</v>
      </c>
      <c r="C51" s="9" t="s">
        <v>143</v>
      </c>
      <c r="D51" s="9">
        <v>95.3</v>
      </c>
      <c r="G51" s="10" t="s">
        <v>144</v>
      </c>
      <c r="H51" s="10" t="s">
        <v>145</v>
      </c>
      <c r="I51" s="10">
        <v>239.22</v>
      </c>
      <c r="J51" s="10" t="s">
        <v>104</v>
      </c>
    </row>
    <row r="52" spans="1:10" x14ac:dyDescent="0.4">
      <c r="A52" s="9" t="s">
        <v>138</v>
      </c>
      <c r="B52" s="9" t="s">
        <v>146</v>
      </c>
      <c r="C52" s="9" t="s">
        <v>147</v>
      </c>
      <c r="D52" s="9">
        <v>128.53</v>
      </c>
      <c r="G52" s="6" t="s">
        <v>148</v>
      </c>
      <c r="H52" s="6" t="s">
        <v>149</v>
      </c>
      <c r="I52" s="6">
        <v>258.05</v>
      </c>
      <c r="J52" s="6" t="s">
        <v>104</v>
      </c>
    </row>
    <row r="53" spans="1:10" x14ac:dyDescent="0.4">
      <c r="A53" s="9" t="s">
        <v>150</v>
      </c>
      <c r="B53" s="9" t="s">
        <v>151</v>
      </c>
      <c r="C53" s="9" t="s">
        <v>152</v>
      </c>
      <c r="D53" s="9">
        <f>'[1]Key Control'!F92</f>
        <v>156.93</v>
      </c>
      <c r="G53" s="10" t="s">
        <v>153</v>
      </c>
      <c r="H53" s="10" t="s">
        <v>154</v>
      </c>
      <c r="I53" s="10">
        <v>280.13</v>
      </c>
      <c r="J53" s="10" t="s">
        <v>104</v>
      </c>
    </row>
    <row r="54" spans="1:10" x14ac:dyDescent="0.4">
      <c r="A54" s="9" t="s">
        <v>150</v>
      </c>
      <c r="B54" s="9" t="s">
        <v>66</v>
      </c>
      <c r="C54" s="9" t="s">
        <v>155</v>
      </c>
      <c r="D54" s="9">
        <f>'[1]Key Control'!F93</f>
        <v>155.6</v>
      </c>
      <c r="G54" s="6" t="s">
        <v>156</v>
      </c>
      <c r="H54" s="6" t="s">
        <v>157</v>
      </c>
      <c r="I54" s="6">
        <v>231.78</v>
      </c>
      <c r="J54" s="6" t="s">
        <v>104</v>
      </c>
    </row>
    <row r="55" spans="1:10" x14ac:dyDescent="0.4">
      <c r="A55" s="9" t="s">
        <v>150</v>
      </c>
      <c r="B55" s="9" t="s">
        <v>158</v>
      </c>
      <c r="C55" s="9" t="s">
        <v>159</v>
      </c>
      <c r="D55" s="9">
        <f>'[1]Key Control'!F94</f>
        <v>108.96</v>
      </c>
      <c r="G55" s="10" t="s">
        <v>160</v>
      </c>
      <c r="H55" s="10" t="s">
        <v>161</v>
      </c>
      <c r="I55" s="10">
        <v>138.94999999999999</v>
      </c>
      <c r="J55" s="10" t="s">
        <v>104</v>
      </c>
    </row>
    <row r="56" spans="1:10" x14ac:dyDescent="0.4">
      <c r="A56" s="9"/>
      <c r="B56" s="9"/>
      <c r="C56" s="9"/>
      <c r="D56" s="9"/>
      <c r="G56" s="6" t="s">
        <v>162</v>
      </c>
      <c r="H56" s="6" t="s">
        <v>163</v>
      </c>
      <c r="I56" s="6">
        <v>183.34</v>
      </c>
      <c r="J56" s="6" t="s">
        <v>104</v>
      </c>
    </row>
    <row r="57" spans="1:10" x14ac:dyDescent="0.4">
      <c r="A57" s="4" t="s">
        <v>164</v>
      </c>
      <c r="B57" s="4" t="s">
        <v>133</v>
      </c>
      <c r="C57" s="4"/>
      <c r="D57" s="4"/>
      <c r="E57" s="5"/>
      <c r="G57" s="10" t="s">
        <v>165</v>
      </c>
      <c r="H57" s="10" t="s">
        <v>166</v>
      </c>
      <c r="I57" s="10">
        <v>173.38</v>
      </c>
      <c r="J57" s="10" t="s">
        <v>104</v>
      </c>
    </row>
    <row r="58" spans="1:10" x14ac:dyDescent="0.4">
      <c r="A58" s="7" t="s">
        <v>10</v>
      </c>
      <c r="B58" s="7" t="s">
        <v>11</v>
      </c>
      <c r="C58" s="7" t="s">
        <v>12</v>
      </c>
      <c r="D58" s="7" t="s">
        <v>4</v>
      </c>
      <c r="G58" s="6" t="s">
        <v>167</v>
      </c>
      <c r="H58" s="6" t="s">
        <v>168</v>
      </c>
      <c r="I58" s="6">
        <v>184.64</v>
      </c>
      <c r="J58" s="6" t="s">
        <v>104</v>
      </c>
    </row>
    <row r="59" spans="1:10" x14ac:dyDescent="0.4">
      <c r="A59" s="9" t="s">
        <v>138</v>
      </c>
      <c r="B59" s="9" t="s">
        <v>146</v>
      </c>
      <c r="C59" s="9" t="s">
        <v>169</v>
      </c>
      <c r="D59" s="9">
        <v>128.53</v>
      </c>
      <c r="G59" s="10" t="s">
        <v>170</v>
      </c>
      <c r="H59" s="10" t="s">
        <v>171</v>
      </c>
      <c r="I59" s="10">
        <v>243</v>
      </c>
      <c r="J59" s="10" t="s">
        <v>104</v>
      </c>
    </row>
    <row r="60" spans="1:10" x14ac:dyDescent="0.4">
      <c r="A60" s="9" t="s">
        <v>138</v>
      </c>
      <c r="B60" s="9" t="s">
        <v>134</v>
      </c>
      <c r="C60" s="9" t="s">
        <v>172</v>
      </c>
      <c r="D60" s="9">
        <f>'[1]Key Control'!F68</f>
        <v>181.45</v>
      </c>
      <c r="G60" s="6" t="s">
        <v>173</v>
      </c>
      <c r="H60" s="6" t="s">
        <v>174</v>
      </c>
      <c r="I60" s="6">
        <v>35.36</v>
      </c>
      <c r="J60" s="6" t="s">
        <v>104</v>
      </c>
    </row>
    <row r="61" spans="1:10" x14ac:dyDescent="0.4">
      <c r="A61" s="9" t="s">
        <v>138</v>
      </c>
      <c r="B61" s="9" t="s">
        <v>59</v>
      </c>
      <c r="C61" s="9" t="s">
        <v>139</v>
      </c>
      <c r="D61" s="9">
        <f>'[1]Key Control'!F70</f>
        <v>230.5</v>
      </c>
      <c r="G61" s="10" t="s">
        <v>175</v>
      </c>
      <c r="H61" s="10" t="s">
        <v>176</v>
      </c>
      <c r="I61" s="10">
        <v>144.09</v>
      </c>
      <c r="J61" s="10" t="s">
        <v>104</v>
      </c>
    </row>
    <row r="62" spans="1:10" x14ac:dyDescent="0.4">
      <c r="A62" s="9" t="s">
        <v>177</v>
      </c>
      <c r="B62" s="9" t="s">
        <v>178</v>
      </c>
      <c r="C62" s="9" t="s">
        <v>152</v>
      </c>
      <c r="D62" s="9">
        <f>'[1]Key Control'!F90</f>
        <v>222.4</v>
      </c>
      <c r="G62" s="6" t="s">
        <v>179</v>
      </c>
      <c r="H62" s="6" t="s">
        <v>180</v>
      </c>
      <c r="I62" s="6">
        <v>119.06</v>
      </c>
      <c r="J62" s="6" t="s">
        <v>104</v>
      </c>
    </row>
    <row r="63" spans="1:10" x14ac:dyDescent="0.4">
      <c r="A63" s="9" t="s">
        <v>177</v>
      </c>
      <c r="B63" s="9" t="s">
        <v>181</v>
      </c>
      <c r="C63" s="9" t="s">
        <v>182</v>
      </c>
      <c r="D63" s="9">
        <f>'[1]Key Control'!F91</f>
        <v>177</v>
      </c>
      <c r="G63" s="10" t="s">
        <v>183</v>
      </c>
      <c r="H63" s="10" t="s">
        <v>184</v>
      </c>
      <c r="I63" s="10">
        <v>173.33</v>
      </c>
      <c r="J63" s="10" t="s">
        <v>104</v>
      </c>
    </row>
    <row r="64" spans="1:10" x14ac:dyDescent="0.4">
      <c r="A64" s="9" t="s">
        <v>177</v>
      </c>
      <c r="B64" s="15" t="s">
        <v>185</v>
      </c>
      <c r="C64" s="9" t="s">
        <v>186</v>
      </c>
      <c r="D64" s="15">
        <f>D54</f>
        <v>155.6</v>
      </c>
      <c r="G64" s="6" t="s">
        <v>187</v>
      </c>
      <c r="H64" s="6" t="s">
        <v>188</v>
      </c>
      <c r="I64" s="6">
        <v>149.62</v>
      </c>
      <c r="J64" s="6" t="s">
        <v>104</v>
      </c>
    </row>
    <row r="65" spans="1:10" x14ac:dyDescent="0.4">
      <c r="A65" s="9"/>
      <c r="B65" s="9"/>
      <c r="C65" s="9"/>
      <c r="D65" s="9"/>
      <c r="G65" s="10" t="s">
        <v>189</v>
      </c>
      <c r="H65" s="10" t="s">
        <v>190</v>
      </c>
      <c r="I65" s="10">
        <v>210.06</v>
      </c>
      <c r="J65" s="17" t="s">
        <v>104</v>
      </c>
    </row>
    <row r="66" spans="1:10" x14ac:dyDescent="0.4">
      <c r="A66" s="4" t="s">
        <v>191</v>
      </c>
      <c r="B66" s="4" t="s">
        <v>133</v>
      </c>
      <c r="C66" s="4"/>
      <c r="D66" s="4"/>
      <c r="E66" s="5"/>
      <c r="G66" s="6" t="s">
        <v>192</v>
      </c>
      <c r="H66" s="6" t="s">
        <v>193</v>
      </c>
      <c r="I66" s="6">
        <v>197.98</v>
      </c>
      <c r="J66" s="6" t="s">
        <v>104</v>
      </c>
    </row>
    <row r="67" spans="1:10" x14ac:dyDescent="0.4">
      <c r="A67" s="7" t="s">
        <v>10</v>
      </c>
      <c r="B67" s="7" t="s">
        <v>11</v>
      </c>
      <c r="C67" s="7" t="s">
        <v>12</v>
      </c>
      <c r="D67" s="7" t="s">
        <v>4</v>
      </c>
      <c r="G67" s="10" t="s">
        <v>194</v>
      </c>
      <c r="H67" s="10" t="s">
        <v>195</v>
      </c>
      <c r="I67" s="10">
        <v>230.5</v>
      </c>
      <c r="J67" s="10" t="s">
        <v>104</v>
      </c>
    </row>
    <row r="68" spans="1:10" x14ac:dyDescent="0.4">
      <c r="A68" s="9" t="s">
        <v>138</v>
      </c>
      <c r="B68" s="9" t="s">
        <v>134</v>
      </c>
      <c r="C68" s="9" t="s">
        <v>196</v>
      </c>
      <c r="D68" s="9">
        <f>'[1]Key Control'!F68</f>
        <v>181.45</v>
      </c>
      <c r="G68" s="6" t="s">
        <v>197</v>
      </c>
      <c r="H68" s="6" t="s">
        <v>198</v>
      </c>
      <c r="I68" s="6">
        <v>215.7</v>
      </c>
      <c r="J68" s="6" t="s">
        <v>104</v>
      </c>
    </row>
    <row r="69" spans="1:10" x14ac:dyDescent="0.4">
      <c r="A69" s="9" t="s">
        <v>138</v>
      </c>
      <c r="B69" s="9" t="s">
        <v>199</v>
      </c>
      <c r="C69" s="9" t="s">
        <v>200</v>
      </c>
      <c r="D69" s="9">
        <v>241.93</v>
      </c>
      <c r="G69" s="10" t="s">
        <v>146</v>
      </c>
      <c r="H69" s="10" t="s">
        <v>201</v>
      </c>
      <c r="I69" s="10">
        <v>28.53</v>
      </c>
      <c r="J69" s="10" t="s">
        <v>104</v>
      </c>
    </row>
    <row r="70" spans="1:10" x14ac:dyDescent="0.4">
      <c r="A70" s="9" t="s">
        <v>138</v>
      </c>
      <c r="B70" s="9" t="s">
        <v>59</v>
      </c>
      <c r="C70" s="9" t="s">
        <v>139</v>
      </c>
      <c r="D70" s="9">
        <f>'[1]Key Control'!F79</f>
        <v>332.24</v>
      </c>
      <c r="G70" s="6" t="s">
        <v>158</v>
      </c>
      <c r="H70" s="6" t="s">
        <v>202</v>
      </c>
      <c r="I70" s="6">
        <v>108.96</v>
      </c>
      <c r="J70" s="6" t="s">
        <v>104</v>
      </c>
    </row>
    <row r="71" spans="1:10" x14ac:dyDescent="0.4">
      <c r="A71" s="9" t="s">
        <v>203</v>
      </c>
      <c r="B71" s="9" t="s">
        <v>178</v>
      </c>
      <c r="C71" s="9" t="s">
        <v>204</v>
      </c>
      <c r="D71" s="9">
        <f>'[1]Key Control'!F86</f>
        <v>222.4</v>
      </c>
      <c r="G71" s="10" t="s">
        <v>205</v>
      </c>
      <c r="H71" s="10" t="s">
        <v>206</v>
      </c>
      <c r="I71" s="10">
        <v>290.3</v>
      </c>
      <c r="J71" s="10" t="s">
        <v>104</v>
      </c>
    </row>
    <row r="72" spans="1:10" x14ac:dyDescent="0.4">
      <c r="A72" s="9" t="s">
        <v>203</v>
      </c>
      <c r="B72" s="9" t="s">
        <v>136</v>
      </c>
      <c r="C72" s="9" t="s">
        <v>207</v>
      </c>
      <c r="D72" s="9">
        <f>'[1]Key Control'!F87</f>
        <v>196.46</v>
      </c>
      <c r="G72" s="6" t="s">
        <v>208</v>
      </c>
      <c r="H72" s="6" t="s">
        <v>209</v>
      </c>
      <c r="I72" s="6">
        <v>286.83999999999997</v>
      </c>
      <c r="J72" s="6" t="s">
        <v>104</v>
      </c>
    </row>
    <row r="73" spans="1:10" x14ac:dyDescent="0.4">
      <c r="A73" s="9" t="s">
        <v>203</v>
      </c>
      <c r="B73" s="18" t="s">
        <v>41</v>
      </c>
      <c r="C73" s="18" t="s">
        <v>210</v>
      </c>
      <c r="D73" s="19">
        <v>136.4</v>
      </c>
      <c r="G73" s="10" t="s">
        <v>211</v>
      </c>
      <c r="H73" s="10" t="s">
        <v>212</v>
      </c>
      <c r="I73" s="10">
        <v>286.29000000000002</v>
      </c>
      <c r="J73" s="10" t="s">
        <v>104</v>
      </c>
    </row>
    <row r="74" spans="1:10" x14ac:dyDescent="0.4">
      <c r="A74" s="9"/>
      <c r="B74" s="9"/>
      <c r="C74" s="9"/>
      <c r="D74" s="9"/>
      <c r="G74" s="6" t="s">
        <v>213</v>
      </c>
      <c r="H74" s="6" t="s">
        <v>214</v>
      </c>
      <c r="I74" s="6">
        <v>291.05</v>
      </c>
      <c r="J74" s="6" t="s">
        <v>104</v>
      </c>
    </row>
    <row r="75" spans="1:10" x14ac:dyDescent="0.4">
      <c r="A75" s="4" t="s">
        <v>215</v>
      </c>
      <c r="B75" s="4" t="s">
        <v>133</v>
      </c>
      <c r="C75" s="4"/>
      <c r="D75" s="4"/>
      <c r="E75" s="5"/>
      <c r="G75" s="10" t="s">
        <v>216</v>
      </c>
      <c r="H75" s="10" t="s">
        <v>217</v>
      </c>
      <c r="I75" s="10">
        <v>335.61</v>
      </c>
      <c r="J75" s="10" t="s">
        <v>104</v>
      </c>
    </row>
    <row r="76" spans="1:10" x14ac:dyDescent="0.4">
      <c r="A76" s="7" t="s">
        <v>10</v>
      </c>
      <c r="B76" s="7" t="s">
        <v>11</v>
      </c>
      <c r="C76" s="7" t="s">
        <v>12</v>
      </c>
      <c r="D76" s="7" t="s">
        <v>4</v>
      </c>
      <c r="G76" s="6" t="s">
        <v>218</v>
      </c>
      <c r="H76" s="6" t="s">
        <v>219</v>
      </c>
      <c r="I76" s="6">
        <v>335</v>
      </c>
      <c r="J76" s="6" t="s">
        <v>104</v>
      </c>
    </row>
    <row r="77" spans="1:10" x14ac:dyDescent="0.4">
      <c r="A77" s="9" t="s">
        <v>138</v>
      </c>
      <c r="B77" s="9" t="s">
        <v>61</v>
      </c>
      <c r="C77" s="9" t="s">
        <v>139</v>
      </c>
      <c r="D77" s="9">
        <f>'[1]Key Control'!F60</f>
        <v>154.5</v>
      </c>
      <c r="G77" s="10" t="s">
        <v>220</v>
      </c>
      <c r="H77" s="10" t="s">
        <v>221</v>
      </c>
      <c r="I77" s="10">
        <v>378.75</v>
      </c>
      <c r="J77" s="10" t="s">
        <v>104</v>
      </c>
    </row>
    <row r="78" spans="1:10" x14ac:dyDescent="0.4">
      <c r="A78" s="9" t="s">
        <v>138</v>
      </c>
      <c r="B78" s="9" t="s">
        <v>175</v>
      </c>
      <c r="C78" s="9" t="s">
        <v>222</v>
      </c>
      <c r="D78" s="9">
        <f>'[1]Key Control'!F63</f>
        <v>144.09</v>
      </c>
      <c r="G78" s="6" t="s">
        <v>223</v>
      </c>
      <c r="H78" s="6" t="s">
        <v>224</v>
      </c>
      <c r="I78" s="6">
        <v>356.49</v>
      </c>
      <c r="J78" s="6" t="s">
        <v>104</v>
      </c>
    </row>
    <row r="79" spans="1:10" x14ac:dyDescent="0.4">
      <c r="A79" s="9" t="s">
        <v>138</v>
      </c>
      <c r="B79" s="9" t="s">
        <v>142</v>
      </c>
      <c r="C79" s="9" t="s">
        <v>143</v>
      </c>
      <c r="D79" s="9">
        <v>95.3</v>
      </c>
      <c r="G79" s="10" t="s">
        <v>225</v>
      </c>
      <c r="H79" s="10" t="s">
        <v>226</v>
      </c>
      <c r="I79" s="10">
        <v>414.94</v>
      </c>
      <c r="J79" s="10" t="s">
        <v>104</v>
      </c>
    </row>
    <row r="80" spans="1:10" x14ac:dyDescent="0.4">
      <c r="A80" s="9" t="s">
        <v>227</v>
      </c>
      <c r="B80" s="9" t="s">
        <v>68</v>
      </c>
      <c r="C80" s="9" t="s">
        <v>228</v>
      </c>
      <c r="D80" s="9">
        <f>'[1]Key Control'!F95</f>
        <v>169.8</v>
      </c>
      <c r="G80" s="6" t="s">
        <v>229</v>
      </c>
      <c r="H80" s="6" t="s">
        <v>230</v>
      </c>
      <c r="I80" s="6">
        <v>356.36</v>
      </c>
      <c r="J80" s="6" t="s">
        <v>104</v>
      </c>
    </row>
    <row r="81" spans="1:10" x14ac:dyDescent="0.4">
      <c r="A81" s="9" t="s">
        <v>227</v>
      </c>
      <c r="B81" s="9" t="s">
        <v>179</v>
      </c>
      <c r="C81" s="9" t="s">
        <v>231</v>
      </c>
      <c r="D81" s="9">
        <f>'[1]Key Control'!F96</f>
        <v>119.06</v>
      </c>
      <c r="G81" s="10" t="s">
        <v>232</v>
      </c>
      <c r="H81" s="10" t="s">
        <v>233</v>
      </c>
      <c r="I81" s="10">
        <v>345.41</v>
      </c>
      <c r="J81" s="10" t="s">
        <v>104</v>
      </c>
    </row>
    <row r="82" spans="1:10" x14ac:dyDescent="0.4">
      <c r="A82" s="9" t="s">
        <v>227</v>
      </c>
      <c r="B82" s="9" t="str">
        <f t="shared" ref="B82:D82" si="0">B53</f>
        <v>4TI107.pv</v>
      </c>
      <c r="C82" s="9" t="str">
        <f t="shared" si="0"/>
        <v>Inlet temp 2RS</v>
      </c>
      <c r="D82" s="9">
        <f t="shared" si="0"/>
        <v>156.93</v>
      </c>
      <c r="G82" s="6" t="s">
        <v>234</v>
      </c>
      <c r="H82" s="6" t="s">
        <v>235</v>
      </c>
      <c r="I82" s="6">
        <v>340.1</v>
      </c>
      <c r="J82" s="6" t="s">
        <v>104</v>
      </c>
    </row>
    <row r="83" spans="1:10" x14ac:dyDescent="0.4">
      <c r="A83" s="9"/>
      <c r="B83" s="9"/>
      <c r="C83" s="9"/>
      <c r="D83" s="9"/>
      <c r="G83" s="10" t="s">
        <v>236</v>
      </c>
      <c r="H83" s="10" t="s">
        <v>237</v>
      </c>
      <c r="I83" s="10">
        <v>389.4</v>
      </c>
      <c r="J83" s="10" t="s">
        <v>104</v>
      </c>
    </row>
    <row r="84" spans="1:10" x14ac:dyDescent="0.4">
      <c r="A84" s="4" t="s">
        <v>238</v>
      </c>
      <c r="B84" s="4" t="s">
        <v>133</v>
      </c>
      <c r="C84" s="4"/>
      <c r="D84" s="4"/>
      <c r="E84" s="5"/>
      <c r="G84" s="6" t="s">
        <v>239</v>
      </c>
      <c r="H84" s="6" t="s">
        <v>240</v>
      </c>
      <c r="I84" s="6">
        <v>370.14</v>
      </c>
      <c r="J84" s="6" t="s">
        <v>104</v>
      </c>
    </row>
    <row r="85" spans="1:10" x14ac:dyDescent="0.4">
      <c r="A85" s="7" t="s">
        <v>10</v>
      </c>
      <c r="B85" s="7" t="s">
        <v>11</v>
      </c>
      <c r="C85" s="7" t="s">
        <v>12</v>
      </c>
      <c r="D85" s="7" t="s">
        <v>4</v>
      </c>
      <c r="G85" s="10" t="s">
        <v>241</v>
      </c>
      <c r="H85" s="10" t="s">
        <v>242</v>
      </c>
      <c r="I85" s="10">
        <v>347.98</v>
      </c>
      <c r="J85" s="10" t="s">
        <v>104</v>
      </c>
    </row>
    <row r="86" spans="1:10" x14ac:dyDescent="0.4">
      <c r="A86" s="9" t="s">
        <v>138</v>
      </c>
      <c r="B86" s="9" t="s">
        <v>175</v>
      </c>
      <c r="C86" s="9" t="s">
        <v>243</v>
      </c>
      <c r="D86" s="9">
        <f>'[1]Key Control'!F63</f>
        <v>144.09</v>
      </c>
      <c r="G86" s="6" t="s">
        <v>244</v>
      </c>
      <c r="H86" s="6" t="s">
        <v>245</v>
      </c>
      <c r="I86" s="6">
        <v>332.24</v>
      </c>
      <c r="J86" s="6" t="s">
        <v>104</v>
      </c>
    </row>
    <row r="87" spans="1:10" x14ac:dyDescent="0.4">
      <c r="A87" s="9" t="s">
        <v>138</v>
      </c>
      <c r="B87" s="9" t="s">
        <v>183</v>
      </c>
      <c r="C87" s="9" t="s">
        <v>246</v>
      </c>
      <c r="D87" s="9">
        <f>'[1]Key Control'!F66</f>
        <v>173.33</v>
      </c>
      <c r="G87" s="10" t="s">
        <v>247</v>
      </c>
      <c r="H87" s="10" t="s">
        <v>248</v>
      </c>
      <c r="I87" s="10">
        <v>319.38</v>
      </c>
      <c r="J87" s="10" t="s">
        <v>104</v>
      </c>
    </row>
    <row r="88" spans="1:10" x14ac:dyDescent="0.4">
      <c r="A88" s="9" t="s">
        <v>138</v>
      </c>
      <c r="B88" s="9" t="str">
        <f>B77</f>
        <v>1FI016.pv</v>
      </c>
      <c r="C88" s="9" t="str">
        <f t="shared" ref="C88:D88" si="1">C77</f>
        <v>Inlet flow Crude</v>
      </c>
      <c r="D88" s="9">
        <f t="shared" si="1"/>
        <v>154.5</v>
      </c>
      <c r="G88" s="6" t="s">
        <v>122</v>
      </c>
      <c r="H88" s="6" t="s">
        <v>249</v>
      </c>
      <c r="I88" s="6">
        <v>144.56</v>
      </c>
      <c r="J88" s="6" t="s">
        <v>104</v>
      </c>
    </row>
    <row r="89" spans="1:10" x14ac:dyDescent="0.4">
      <c r="A89" s="9" t="s">
        <v>250</v>
      </c>
      <c r="B89" s="9" t="s">
        <v>197</v>
      </c>
      <c r="C89" s="9" t="s">
        <v>251</v>
      </c>
      <c r="D89" s="9">
        <f>'[1]Key Control'!F99</f>
        <v>215.7</v>
      </c>
      <c r="G89" s="10" t="s">
        <v>252</v>
      </c>
      <c r="H89" s="10" t="s">
        <v>253</v>
      </c>
      <c r="I89" s="10">
        <v>324.27999999999997</v>
      </c>
      <c r="J89" s="10" t="s">
        <v>104</v>
      </c>
    </row>
    <row r="90" spans="1:10" x14ac:dyDescent="0.4">
      <c r="A90" s="9" t="s">
        <v>250</v>
      </c>
      <c r="B90" s="9" t="s">
        <v>187</v>
      </c>
      <c r="C90" s="9" t="s">
        <v>254</v>
      </c>
      <c r="D90" s="9">
        <f>'[1]Key Control'!F100</f>
        <v>149.62</v>
      </c>
      <c r="G90" s="6" t="s">
        <v>255</v>
      </c>
      <c r="H90" s="6" t="s">
        <v>256</v>
      </c>
      <c r="I90" s="6">
        <v>227.74</v>
      </c>
      <c r="J90" s="6" t="s">
        <v>104</v>
      </c>
    </row>
    <row r="91" spans="1:10" x14ac:dyDescent="0.4">
      <c r="A91" s="20" t="s">
        <v>250</v>
      </c>
      <c r="B91" s="21" t="s">
        <v>257</v>
      </c>
      <c r="C91" s="20" t="s">
        <v>258</v>
      </c>
      <c r="D91" s="20">
        <f>67.1+0</f>
        <v>67.099999999999994</v>
      </c>
      <c r="G91" s="10" t="s">
        <v>259</v>
      </c>
      <c r="H91" s="10" t="s">
        <v>260</v>
      </c>
      <c r="I91" s="10">
        <v>232.63</v>
      </c>
      <c r="J91" s="10" t="s">
        <v>104</v>
      </c>
    </row>
    <row r="92" spans="1:10" x14ac:dyDescent="0.4">
      <c r="A92" s="9"/>
      <c r="B92" s="9"/>
      <c r="C92" s="9"/>
      <c r="D92" s="9"/>
      <c r="G92" s="6" t="s">
        <v>261</v>
      </c>
      <c r="H92" s="6" t="s">
        <v>262</v>
      </c>
      <c r="I92" s="6">
        <v>39.86</v>
      </c>
      <c r="J92" s="6" t="s">
        <v>104</v>
      </c>
    </row>
    <row r="93" spans="1:10" x14ac:dyDescent="0.4">
      <c r="A93" s="4" t="s">
        <v>263</v>
      </c>
      <c r="B93" s="4" t="s">
        <v>133</v>
      </c>
      <c r="C93" s="4"/>
      <c r="D93" s="4"/>
      <c r="E93" s="5"/>
      <c r="G93" s="10" t="s">
        <v>31</v>
      </c>
      <c r="H93" s="10" t="s">
        <v>264</v>
      </c>
      <c r="I93" s="10">
        <v>116.43</v>
      </c>
      <c r="J93" s="10" t="s">
        <v>104</v>
      </c>
    </row>
    <row r="94" spans="1:10" x14ac:dyDescent="0.4">
      <c r="A94" s="7" t="s">
        <v>10</v>
      </c>
      <c r="B94" s="7" t="s">
        <v>11</v>
      </c>
      <c r="C94" s="7" t="s">
        <v>12</v>
      </c>
      <c r="D94" s="7" t="s">
        <v>4</v>
      </c>
      <c r="G94" s="6" t="s">
        <v>178</v>
      </c>
      <c r="H94" s="6" t="s">
        <v>265</v>
      </c>
      <c r="I94" s="6">
        <v>222.4</v>
      </c>
      <c r="J94" s="6" t="s">
        <v>104</v>
      </c>
    </row>
    <row r="95" spans="1:10" x14ac:dyDescent="0.4">
      <c r="A95" s="9" t="s">
        <v>138</v>
      </c>
      <c r="B95" s="9" t="s">
        <v>183</v>
      </c>
      <c r="C95" s="9" t="s">
        <v>266</v>
      </c>
      <c r="D95" s="9">
        <f>'[1]Key Control'!F66</f>
        <v>173.33</v>
      </c>
      <c r="G95" s="10" t="s">
        <v>267</v>
      </c>
      <c r="H95" s="10" t="s">
        <v>268</v>
      </c>
      <c r="I95" s="10">
        <v>412.35</v>
      </c>
      <c r="J95" s="10" t="s">
        <v>104</v>
      </c>
    </row>
    <row r="96" spans="1:10" x14ac:dyDescent="0.4">
      <c r="A96" s="9" t="s">
        <v>138</v>
      </c>
      <c r="B96" s="9" t="s">
        <v>189</v>
      </c>
      <c r="C96" s="9" t="s">
        <v>269</v>
      </c>
      <c r="D96" s="9">
        <f>'[1]Key Control'!F69</f>
        <v>210.06</v>
      </c>
      <c r="G96" s="6" t="s">
        <v>270</v>
      </c>
      <c r="H96" s="6" t="s">
        <v>271</v>
      </c>
      <c r="I96" s="6">
        <v>154.88</v>
      </c>
      <c r="J96" s="6" t="s">
        <v>104</v>
      </c>
    </row>
    <row r="97" spans="1:10" x14ac:dyDescent="0.4">
      <c r="A97" s="9" t="str">
        <f t="shared" ref="A97:D97" si="2">A88</f>
        <v>Cold (Crude)</v>
      </c>
      <c r="B97" s="9" t="str">
        <f>B88</f>
        <v>1FI016.pv</v>
      </c>
      <c r="C97" s="9" t="str">
        <f t="shared" si="2"/>
        <v>Inlet flow Crude</v>
      </c>
      <c r="D97" s="9">
        <f t="shared" si="2"/>
        <v>154.5</v>
      </c>
      <c r="G97" s="10" t="s">
        <v>272</v>
      </c>
      <c r="H97" s="10" t="s">
        <v>273</v>
      </c>
      <c r="I97" s="10">
        <v>183.71</v>
      </c>
      <c r="J97" s="10" t="s">
        <v>104</v>
      </c>
    </row>
    <row r="98" spans="1:10" x14ac:dyDescent="0.4">
      <c r="A98" s="9" t="s">
        <v>274</v>
      </c>
      <c r="B98" s="9" t="s">
        <v>192</v>
      </c>
      <c r="C98" s="9" t="s">
        <v>275</v>
      </c>
      <c r="D98" s="9">
        <f>'[1]Key Control'!F83</f>
        <v>197.98</v>
      </c>
      <c r="G98" s="6" t="s">
        <v>276</v>
      </c>
      <c r="H98" s="6" t="s">
        <v>277</v>
      </c>
      <c r="I98" s="6">
        <v>182.9</v>
      </c>
      <c r="J98" s="6" t="s">
        <v>104</v>
      </c>
    </row>
    <row r="99" spans="1:10" x14ac:dyDescent="0.4">
      <c r="A99" s="9" t="s">
        <v>274</v>
      </c>
      <c r="B99" s="9" t="s">
        <v>173</v>
      </c>
      <c r="C99" s="9" t="s">
        <v>278</v>
      </c>
      <c r="D99" s="9">
        <f>'[1]Key Control'!$F$82</f>
        <v>35.36</v>
      </c>
      <c r="G99" s="10" t="s">
        <v>142</v>
      </c>
      <c r="H99" s="10" t="s">
        <v>279</v>
      </c>
      <c r="I99" s="10">
        <v>95.3</v>
      </c>
      <c r="J99" s="10" t="s">
        <v>104</v>
      </c>
    </row>
    <row r="100" spans="1:10" x14ac:dyDescent="0.4">
      <c r="A100" s="20" t="s">
        <v>274</v>
      </c>
      <c r="B100" s="21" t="s">
        <v>280</v>
      </c>
      <c r="C100" s="20" t="s">
        <v>281</v>
      </c>
      <c r="D100" s="20">
        <v>188.12</v>
      </c>
      <c r="G100" s="6" t="s">
        <v>280</v>
      </c>
      <c r="H100" s="6" t="s">
        <v>281</v>
      </c>
      <c r="I100" s="6">
        <v>188.12</v>
      </c>
      <c r="J100" s="6" t="s">
        <v>25</v>
      </c>
    </row>
    <row r="101" spans="1:10" x14ac:dyDescent="0.4">
      <c r="A101" s="9"/>
      <c r="B101" s="9"/>
      <c r="C101" s="9"/>
      <c r="D101" s="9"/>
      <c r="G101" s="10" t="s">
        <v>151</v>
      </c>
      <c r="H101" s="10" t="s">
        <v>282</v>
      </c>
      <c r="I101" s="10">
        <v>156.93</v>
      </c>
      <c r="J101" s="10" t="s">
        <v>104</v>
      </c>
    </row>
    <row r="102" spans="1:10" x14ac:dyDescent="0.4">
      <c r="A102" s="4" t="s">
        <v>283</v>
      </c>
      <c r="B102" s="4" t="s">
        <v>133</v>
      </c>
      <c r="C102" s="4"/>
      <c r="D102" s="4"/>
      <c r="E102" s="5"/>
      <c r="G102" s="6" t="s">
        <v>181</v>
      </c>
      <c r="H102" s="6" t="s">
        <v>284</v>
      </c>
      <c r="I102" s="6">
        <v>177</v>
      </c>
      <c r="J102" s="6" t="s">
        <v>104</v>
      </c>
    </row>
    <row r="103" spans="1:10" x14ac:dyDescent="0.4">
      <c r="A103" s="7" t="s">
        <v>10</v>
      </c>
      <c r="B103" s="7" t="s">
        <v>11</v>
      </c>
      <c r="C103" s="7" t="s">
        <v>12</v>
      </c>
      <c r="D103" s="7" t="s">
        <v>4</v>
      </c>
      <c r="G103" s="22" t="s">
        <v>285</v>
      </c>
      <c r="H103" s="22" t="s">
        <v>286</v>
      </c>
      <c r="I103" s="22">
        <v>112.94</v>
      </c>
      <c r="J103" s="22" t="s">
        <v>104</v>
      </c>
    </row>
    <row r="104" spans="1:10" x14ac:dyDescent="0.4">
      <c r="A104" s="9" t="s">
        <v>138</v>
      </c>
      <c r="B104" s="9" t="s">
        <v>189</v>
      </c>
      <c r="C104" s="9" t="s">
        <v>287</v>
      </c>
      <c r="D104" s="9">
        <f>'[1]Key Control'!F69</f>
        <v>210.06</v>
      </c>
      <c r="G104" s="9"/>
      <c r="H104" s="9"/>
      <c r="I104" s="9"/>
      <c r="J104" s="9"/>
    </row>
    <row r="105" spans="1:10" ht="19.2" x14ac:dyDescent="0.45">
      <c r="A105" s="9" t="s">
        <v>138</v>
      </c>
      <c r="B105" s="9" t="s">
        <v>194</v>
      </c>
      <c r="C105" s="9" t="s">
        <v>288</v>
      </c>
      <c r="D105" s="9">
        <f>'[1]Key Control'!F70</f>
        <v>230.5</v>
      </c>
      <c r="G105" s="41" t="s">
        <v>289</v>
      </c>
      <c r="H105" s="41"/>
      <c r="I105" s="41"/>
      <c r="J105" s="41"/>
    </row>
    <row r="106" spans="1:10" x14ac:dyDescent="0.4">
      <c r="A106" s="9" t="s">
        <v>138</v>
      </c>
      <c r="B106" s="9" t="str">
        <f>B97</f>
        <v>1FI016.pv</v>
      </c>
      <c r="C106" s="9" t="str">
        <f t="shared" ref="C106:D106" si="3">C97</f>
        <v>Inlet flow Crude</v>
      </c>
      <c r="D106" s="9">
        <f t="shared" si="3"/>
        <v>154.5</v>
      </c>
      <c r="G106" s="23" t="s">
        <v>2</v>
      </c>
      <c r="H106" s="23" t="s">
        <v>3</v>
      </c>
      <c r="I106" s="23" t="s">
        <v>4</v>
      </c>
      <c r="J106" s="23" t="s">
        <v>290</v>
      </c>
    </row>
    <row r="107" spans="1:10" x14ac:dyDescent="0.4">
      <c r="A107" s="9" t="s">
        <v>250</v>
      </c>
      <c r="B107" s="9" t="s">
        <v>247</v>
      </c>
      <c r="C107" s="9" t="s">
        <v>291</v>
      </c>
      <c r="D107" s="9">
        <f>'[1]Key Control'!F98</f>
        <v>319.38</v>
      </c>
      <c r="G107" s="24" t="s">
        <v>292</v>
      </c>
      <c r="H107" s="25" t="s">
        <v>293</v>
      </c>
      <c r="I107" s="25">
        <v>19.350000000000001</v>
      </c>
      <c r="J107" s="25" t="s">
        <v>294</v>
      </c>
    </row>
    <row r="108" spans="1:10" x14ac:dyDescent="0.4">
      <c r="A108" s="9" t="s">
        <v>250</v>
      </c>
      <c r="B108" s="9" t="s">
        <v>197</v>
      </c>
      <c r="C108" s="9" t="s">
        <v>295</v>
      </c>
      <c r="D108" s="9">
        <f>'[1]Key Control'!F99</f>
        <v>215.7</v>
      </c>
      <c r="G108" s="26" t="s">
        <v>296</v>
      </c>
      <c r="H108" s="22" t="s">
        <v>297</v>
      </c>
      <c r="I108" s="22">
        <v>19.5</v>
      </c>
      <c r="J108" s="22" t="s">
        <v>294</v>
      </c>
    </row>
    <row r="109" spans="1:10" x14ac:dyDescent="0.4">
      <c r="A109" s="9" t="s">
        <v>250</v>
      </c>
      <c r="B109" s="9" t="str">
        <f t="shared" ref="B109:D109" si="4">B91</f>
        <v>00FIC001.pv+1FC062.pv</v>
      </c>
      <c r="C109" s="9" t="str">
        <f t="shared" si="4"/>
        <v xml:space="preserve">Flow GO </v>
      </c>
      <c r="D109" s="9">
        <f t="shared" si="4"/>
        <v>67.099999999999994</v>
      </c>
      <c r="G109" s="25" t="s">
        <v>298</v>
      </c>
      <c r="H109" s="25" t="s">
        <v>299</v>
      </c>
      <c r="I109" s="25"/>
      <c r="J109" s="25" t="s">
        <v>47</v>
      </c>
    </row>
    <row r="110" spans="1:10" x14ac:dyDescent="0.4">
      <c r="A110" s="9"/>
      <c r="B110" s="9"/>
      <c r="C110" s="9"/>
      <c r="D110" s="9"/>
      <c r="G110" s="22" t="s">
        <v>300</v>
      </c>
      <c r="H110" s="22" t="s">
        <v>301</v>
      </c>
      <c r="I110" s="22"/>
      <c r="J110" s="22" t="s">
        <v>47</v>
      </c>
    </row>
    <row r="111" spans="1:10" x14ac:dyDescent="0.4">
      <c r="A111" s="4" t="s">
        <v>302</v>
      </c>
      <c r="B111" s="4" t="s">
        <v>133</v>
      </c>
      <c r="C111" s="4"/>
      <c r="D111" s="4"/>
      <c r="E111" s="5"/>
      <c r="G111" s="25" t="s">
        <v>303</v>
      </c>
      <c r="H111" s="25" t="s">
        <v>304</v>
      </c>
      <c r="I111" s="25"/>
      <c r="J111" s="25" t="s">
        <v>47</v>
      </c>
    </row>
    <row r="112" spans="1:10" x14ac:dyDescent="0.4">
      <c r="A112" s="7" t="s">
        <v>10</v>
      </c>
      <c r="B112" s="7" t="s">
        <v>11</v>
      </c>
      <c r="C112" s="7" t="s">
        <v>12</v>
      </c>
      <c r="D112" s="7" t="s">
        <v>4</v>
      </c>
      <c r="G112" s="22" t="s">
        <v>305</v>
      </c>
      <c r="H112" s="22" t="s">
        <v>306</v>
      </c>
      <c r="I112" s="22">
        <v>-0.43</v>
      </c>
      <c r="J112" s="22" t="s">
        <v>47</v>
      </c>
    </row>
    <row r="113" spans="1:10" x14ac:dyDescent="0.4">
      <c r="A113" s="9" t="s">
        <v>138</v>
      </c>
      <c r="B113" s="9" t="s">
        <v>63</v>
      </c>
      <c r="C113" s="9" t="s">
        <v>139</v>
      </c>
      <c r="D113" s="9">
        <f>'[1]Key Control'!F61</f>
        <v>141.19999999999999</v>
      </c>
      <c r="G113" s="25" t="s">
        <v>307</v>
      </c>
      <c r="H113" s="25" t="s">
        <v>308</v>
      </c>
      <c r="I113" s="25">
        <v>0.85</v>
      </c>
      <c r="J113" s="25" t="s">
        <v>47</v>
      </c>
    </row>
    <row r="114" spans="1:10" x14ac:dyDescent="0.4">
      <c r="A114" s="9" t="s">
        <v>138</v>
      </c>
      <c r="B114" s="9" t="s">
        <v>165</v>
      </c>
      <c r="C114" s="9" t="s">
        <v>309</v>
      </c>
      <c r="D114" s="9">
        <f>'[1]Key Control'!F64</f>
        <v>173.38</v>
      </c>
      <c r="G114" s="22" t="s">
        <v>310</v>
      </c>
      <c r="H114" s="22" t="s">
        <v>311</v>
      </c>
      <c r="I114" s="22"/>
      <c r="J114" s="22"/>
    </row>
    <row r="115" spans="1:10" x14ac:dyDescent="0.4">
      <c r="A115" s="9" t="s">
        <v>138</v>
      </c>
      <c r="B115" s="9" t="str">
        <f t="shared" ref="B115:D115" si="5">B51</f>
        <v>1TI225.pv</v>
      </c>
      <c r="C115" s="9" t="str">
        <f t="shared" si="5"/>
        <v>Inlet temp Crude</v>
      </c>
      <c r="D115" s="9">
        <f t="shared" si="5"/>
        <v>95.3</v>
      </c>
      <c r="G115" s="25" t="s">
        <v>312</v>
      </c>
      <c r="H115" s="25" t="s">
        <v>313</v>
      </c>
      <c r="I115" s="25"/>
      <c r="J115" s="25"/>
    </row>
    <row r="116" spans="1:10" x14ac:dyDescent="0.4">
      <c r="A116" s="9" t="s">
        <v>274</v>
      </c>
      <c r="B116" s="9" t="s">
        <v>160</v>
      </c>
      <c r="C116" s="9" t="s">
        <v>275</v>
      </c>
      <c r="D116" s="9">
        <f>'[1]Key Control'!F85</f>
        <v>138.94999999999999</v>
      </c>
      <c r="G116" s="22" t="s">
        <v>314</v>
      </c>
      <c r="H116" s="22" t="s">
        <v>315</v>
      </c>
      <c r="I116" s="22">
        <v>105</v>
      </c>
      <c r="J116" s="22" t="s">
        <v>82</v>
      </c>
    </row>
    <row r="117" spans="1:10" x14ac:dyDescent="0.4">
      <c r="A117" s="9" t="s">
        <v>274</v>
      </c>
      <c r="B117" s="9" t="s">
        <v>192</v>
      </c>
      <c r="C117" s="9" t="s">
        <v>278</v>
      </c>
      <c r="D117" s="9">
        <v>197.98</v>
      </c>
      <c r="G117" s="25" t="s">
        <v>316</v>
      </c>
      <c r="H117" s="25" t="s">
        <v>317</v>
      </c>
      <c r="I117" s="25">
        <v>105</v>
      </c>
      <c r="J117" s="25" t="s">
        <v>82</v>
      </c>
    </row>
    <row r="118" spans="1:10" x14ac:dyDescent="0.4">
      <c r="A118" s="9" t="s">
        <v>274</v>
      </c>
      <c r="B118" s="9" t="str">
        <f>B100</f>
        <v>439FI003.pv</v>
      </c>
      <c r="C118" s="9" t="str">
        <f t="shared" ref="C118:D118" si="6">C100</f>
        <v>Flow Residue</v>
      </c>
      <c r="D118" s="9">
        <f t="shared" si="6"/>
        <v>188.12</v>
      </c>
      <c r="G118" s="22" t="s">
        <v>318</v>
      </c>
      <c r="H118" s="22" t="s">
        <v>319</v>
      </c>
      <c r="I118" s="22">
        <v>105</v>
      </c>
      <c r="J118" s="22" t="s">
        <v>82</v>
      </c>
    </row>
    <row r="119" spans="1:10" x14ac:dyDescent="0.4">
      <c r="A119" s="9"/>
      <c r="B119" s="9"/>
      <c r="C119" s="9"/>
      <c r="D119" s="9"/>
      <c r="G119" s="25" t="s">
        <v>320</v>
      </c>
      <c r="H119" s="25" t="s">
        <v>321</v>
      </c>
      <c r="I119" s="25">
        <v>100</v>
      </c>
      <c r="J119" s="25" t="s">
        <v>82</v>
      </c>
    </row>
    <row r="120" spans="1:10" x14ac:dyDescent="0.4">
      <c r="A120" s="4" t="s">
        <v>322</v>
      </c>
      <c r="B120" s="4" t="s">
        <v>133</v>
      </c>
      <c r="C120" s="4"/>
      <c r="D120" s="4"/>
      <c r="E120" s="5"/>
      <c r="G120" s="22" t="s">
        <v>323</v>
      </c>
      <c r="H120" s="22" t="s">
        <v>324</v>
      </c>
      <c r="I120" s="22">
        <v>100</v>
      </c>
      <c r="J120" s="22" t="s">
        <v>82</v>
      </c>
    </row>
    <row r="121" spans="1:10" x14ac:dyDescent="0.4">
      <c r="A121" s="7" t="s">
        <v>10</v>
      </c>
      <c r="B121" s="7" t="s">
        <v>11</v>
      </c>
      <c r="C121" s="7" t="s">
        <v>12</v>
      </c>
      <c r="D121" s="7" t="s">
        <v>4</v>
      </c>
      <c r="G121" s="25" t="s">
        <v>325</v>
      </c>
      <c r="H121" s="25" t="s">
        <v>326</v>
      </c>
      <c r="I121" s="25">
        <v>100</v>
      </c>
      <c r="J121" s="25" t="s">
        <v>82</v>
      </c>
    </row>
    <row r="122" spans="1:10" x14ac:dyDescent="0.4">
      <c r="A122" s="9" t="s">
        <v>138</v>
      </c>
      <c r="B122" s="9" t="s">
        <v>165</v>
      </c>
      <c r="C122" s="9" t="s">
        <v>327</v>
      </c>
      <c r="D122" s="9">
        <f>'[1]Key Control'!F64</f>
        <v>173.38</v>
      </c>
      <c r="G122" s="22" t="s">
        <v>328</v>
      </c>
      <c r="H122" s="22" t="s">
        <v>329</v>
      </c>
      <c r="I122" s="22">
        <v>-6.9</v>
      </c>
      <c r="J122" s="22" t="s">
        <v>82</v>
      </c>
    </row>
    <row r="123" spans="1:10" x14ac:dyDescent="0.4">
      <c r="A123" s="9" t="s">
        <v>138</v>
      </c>
      <c r="B123" s="9" t="s">
        <v>162</v>
      </c>
      <c r="C123" s="9" t="s">
        <v>330</v>
      </c>
      <c r="D123" s="9">
        <f>'[1]Key Control'!F67</f>
        <v>183.34</v>
      </c>
      <c r="G123" s="25" t="s">
        <v>331</v>
      </c>
      <c r="H123" s="25" t="s">
        <v>332</v>
      </c>
      <c r="I123" s="25">
        <v>48.4</v>
      </c>
      <c r="J123" s="25" t="s">
        <v>82</v>
      </c>
    </row>
    <row r="124" spans="1:10" x14ac:dyDescent="0.4">
      <c r="A124" s="9" t="s">
        <v>138</v>
      </c>
      <c r="B124" s="9" t="str">
        <f>B113</f>
        <v>1FI017.pv</v>
      </c>
      <c r="C124" s="9" t="str">
        <f t="shared" ref="C124:D124" si="7">C113</f>
        <v>Inlet flow Crude</v>
      </c>
      <c r="D124" s="9">
        <f t="shared" si="7"/>
        <v>141.19999999999999</v>
      </c>
      <c r="G124" s="22" t="s">
        <v>333</v>
      </c>
      <c r="H124" s="22" t="s">
        <v>334</v>
      </c>
      <c r="I124" s="22">
        <v>37.79</v>
      </c>
      <c r="J124" s="22" t="s">
        <v>82</v>
      </c>
    </row>
    <row r="125" spans="1:10" x14ac:dyDescent="0.4">
      <c r="A125" s="9" t="s">
        <v>203</v>
      </c>
      <c r="B125" s="9" t="s">
        <v>136</v>
      </c>
      <c r="C125" s="9" t="s">
        <v>335</v>
      </c>
      <c r="D125" s="9">
        <f>'[1]Key Control'!F87</f>
        <v>196.46</v>
      </c>
      <c r="G125" s="25" t="s">
        <v>336</v>
      </c>
      <c r="H125" s="25" t="s">
        <v>337</v>
      </c>
      <c r="I125" s="25"/>
      <c r="J125" s="25" t="s">
        <v>338</v>
      </c>
    </row>
    <row r="126" spans="1:10" x14ac:dyDescent="0.4">
      <c r="A126" s="9" t="s">
        <v>203</v>
      </c>
      <c r="B126" s="9" t="s">
        <v>167</v>
      </c>
      <c r="C126" s="9" t="s">
        <v>339</v>
      </c>
      <c r="D126" s="9">
        <f>'[1]Key Control'!F88</f>
        <v>184.64</v>
      </c>
      <c r="G126" s="22" t="s">
        <v>340</v>
      </c>
      <c r="H126" s="22" t="s">
        <v>341</v>
      </c>
      <c r="I126" s="22">
        <v>0.66</v>
      </c>
      <c r="J126" s="22" t="s">
        <v>338</v>
      </c>
    </row>
    <row r="127" spans="1:10" x14ac:dyDescent="0.4">
      <c r="A127" s="9" t="s">
        <v>203</v>
      </c>
      <c r="B127" s="9" t="s">
        <v>41</v>
      </c>
      <c r="C127" s="9" t="s">
        <v>342</v>
      </c>
      <c r="D127" s="9">
        <f>'[1]Key Control'!F89</f>
        <v>136.4</v>
      </c>
      <c r="G127" s="25" t="s">
        <v>343</v>
      </c>
      <c r="H127" s="25" t="s">
        <v>344</v>
      </c>
      <c r="I127" s="25">
        <v>0</v>
      </c>
      <c r="J127" s="25" t="s">
        <v>345</v>
      </c>
    </row>
    <row r="128" spans="1:10" x14ac:dyDescent="0.4">
      <c r="A128" s="9"/>
      <c r="B128" s="9"/>
      <c r="C128" s="9"/>
      <c r="D128" s="9"/>
      <c r="G128" s="22" t="s">
        <v>346</v>
      </c>
      <c r="H128" s="22" t="s">
        <v>347</v>
      </c>
      <c r="I128" s="22"/>
      <c r="J128" s="22" t="s">
        <v>338</v>
      </c>
    </row>
    <row r="129" spans="1:10" x14ac:dyDescent="0.4">
      <c r="A129" s="4" t="s">
        <v>348</v>
      </c>
      <c r="B129" s="4" t="s">
        <v>133</v>
      </c>
      <c r="C129" s="4"/>
      <c r="D129" s="4"/>
      <c r="E129" s="5"/>
      <c r="G129" s="25" t="s">
        <v>349</v>
      </c>
      <c r="H129" s="25" t="s">
        <v>350</v>
      </c>
      <c r="I129" s="25">
        <v>3.24</v>
      </c>
      <c r="J129" s="25" t="s">
        <v>345</v>
      </c>
    </row>
    <row r="130" spans="1:10" x14ac:dyDescent="0.4">
      <c r="A130" s="7" t="s">
        <v>10</v>
      </c>
      <c r="B130" s="7" t="s">
        <v>11</v>
      </c>
      <c r="C130" s="7" t="s">
        <v>12</v>
      </c>
      <c r="D130" s="7" t="s">
        <v>4</v>
      </c>
      <c r="G130" s="25" t="s">
        <v>351</v>
      </c>
      <c r="H130" s="25" t="s">
        <v>352</v>
      </c>
      <c r="I130" s="25">
        <v>48.139000000000003</v>
      </c>
      <c r="J130" s="25" t="s">
        <v>353</v>
      </c>
    </row>
    <row r="131" spans="1:10" x14ac:dyDescent="0.4">
      <c r="A131" s="9" t="s">
        <v>138</v>
      </c>
      <c r="B131" s="9" t="s">
        <v>162</v>
      </c>
      <c r="C131" s="9" t="s">
        <v>354</v>
      </c>
      <c r="D131" s="9">
        <f>'[1]Key Control'!F67</f>
        <v>183.34</v>
      </c>
      <c r="G131" s="27" t="s">
        <v>355</v>
      </c>
      <c r="H131" s="27" t="s">
        <v>356</v>
      </c>
      <c r="I131" s="27">
        <v>45.536000000000001</v>
      </c>
      <c r="J131" s="27" t="s">
        <v>353</v>
      </c>
    </row>
    <row r="132" spans="1:10" x14ac:dyDescent="0.4">
      <c r="A132" s="9" t="s">
        <v>138</v>
      </c>
      <c r="B132" s="9" t="s">
        <v>170</v>
      </c>
      <c r="C132" s="9" t="s">
        <v>288</v>
      </c>
      <c r="D132" s="9">
        <f>'[1]Key Control'!F71</f>
        <v>243</v>
      </c>
      <c r="G132" s="9"/>
      <c r="H132" s="9"/>
      <c r="I132" s="9"/>
      <c r="J132" s="9"/>
    </row>
    <row r="133" spans="1:10" ht="19.2" x14ac:dyDescent="0.45">
      <c r="A133" s="9" t="s">
        <v>138</v>
      </c>
      <c r="B133" s="9" t="str">
        <f t="shared" ref="B133:D133" si="8">B113</f>
        <v>1FI017.pv</v>
      </c>
      <c r="C133" s="9" t="str">
        <f t="shared" si="8"/>
        <v>Inlet flow Crude</v>
      </c>
      <c r="D133" s="9">
        <f t="shared" si="8"/>
        <v>141.19999999999999</v>
      </c>
      <c r="G133" s="42" t="s">
        <v>357</v>
      </c>
      <c r="H133" s="43"/>
      <c r="I133" s="43"/>
      <c r="J133" s="44"/>
    </row>
    <row r="134" spans="1:10" x14ac:dyDescent="0.4">
      <c r="A134" s="9" t="s">
        <v>274</v>
      </c>
      <c r="B134" s="9" t="s">
        <v>173</v>
      </c>
      <c r="C134" s="9" t="s">
        <v>275</v>
      </c>
      <c r="D134" s="9">
        <f>'[1]Key Control'!F82</f>
        <v>35.36</v>
      </c>
      <c r="G134" s="28" t="s">
        <v>358</v>
      </c>
      <c r="H134" s="28" t="s">
        <v>359</v>
      </c>
      <c r="I134" s="28" t="s">
        <v>360</v>
      </c>
      <c r="J134" s="28" t="s">
        <v>4</v>
      </c>
    </row>
    <row r="135" spans="1:10" x14ac:dyDescent="0.4">
      <c r="A135" s="9" t="s">
        <v>274</v>
      </c>
      <c r="B135" s="9" t="s">
        <v>153</v>
      </c>
      <c r="C135" s="9" t="s">
        <v>361</v>
      </c>
      <c r="D135" s="9">
        <v>280.13</v>
      </c>
      <c r="G135" s="29" t="s">
        <v>362</v>
      </c>
      <c r="H135" s="29" t="s">
        <v>363</v>
      </c>
      <c r="I135" s="29" t="s">
        <v>59</v>
      </c>
      <c r="J135" s="29">
        <v>235.4</v>
      </c>
    </row>
    <row r="136" spans="1:10" x14ac:dyDescent="0.4">
      <c r="A136" s="9" t="s">
        <v>274</v>
      </c>
      <c r="B136" s="9" t="str">
        <f t="shared" ref="B136:D136" si="9">B118</f>
        <v>439FI003.pv</v>
      </c>
      <c r="C136" s="9" t="str">
        <f t="shared" si="9"/>
        <v>Flow Residue</v>
      </c>
      <c r="D136" s="9">
        <f t="shared" si="9"/>
        <v>188.12</v>
      </c>
      <c r="G136" s="29" t="s">
        <v>364</v>
      </c>
      <c r="H136" s="29" t="s">
        <v>365</v>
      </c>
      <c r="I136" s="29" t="s">
        <v>61</v>
      </c>
      <c r="J136" s="29">
        <v>154.5</v>
      </c>
    </row>
    <row r="137" spans="1:10" x14ac:dyDescent="0.4">
      <c r="A137" s="9"/>
      <c r="B137" s="9"/>
      <c r="C137" s="9"/>
      <c r="D137" s="9"/>
      <c r="G137" s="29" t="s">
        <v>366</v>
      </c>
      <c r="H137" s="29" t="s">
        <v>367</v>
      </c>
      <c r="I137" s="29" t="s">
        <v>63</v>
      </c>
      <c r="J137" s="29">
        <v>141.19999999999999</v>
      </c>
    </row>
    <row r="138" spans="1:10" x14ac:dyDescent="0.4">
      <c r="A138" s="4" t="s">
        <v>368</v>
      </c>
      <c r="B138" s="4" t="s">
        <v>133</v>
      </c>
      <c r="C138" s="4"/>
      <c r="D138" s="4"/>
      <c r="E138" s="5"/>
    </row>
    <row r="139" spans="1:10" x14ac:dyDescent="0.4">
      <c r="A139" s="7" t="s">
        <v>10</v>
      </c>
      <c r="B139" s="7" t="s">
        <v>11</v>
      </c>
      <c r="C139" s="7" t="s">
        <v>12</v>
      </c>
      <c r="D139" s="7" t="s">
        <v>4</v>
      </c>
    </row>
    <row r="140" spans="1:10" x14ac:dyDescent="0.4">
      <c r="A140" s="14" t="s">
        <v>138</v>
      </c>
      <c r="B140" s="14" t="s">
        <v>162</v>
      </c>
      <c r="C140" s="14" t="s">
        <v>354</v>
      </c>
      <c r="D140" s="14">
        <f>'[1]Key Control'!F67</f>
        <v>183.34</v>
      </c>
    </row>
    <row r="141" spans="1:10" x14ac:dyDescent="0.4">
      <c r="A141" s="14" t="s">
        <v>138</v>
      </c>
      <c r="B141" s="14" t="s">
        <v>140</v>
      </c>
      <c r="C141" s="14" t="s">
        <v>288</v>
      </c>
      <c r="D141" s="14">
        <f>'[1]Key Control'!F72</f>
        <v>241.93</v>
      </c>
    </row>
    <row r="142" spans="1:10" x14ac:dyDescent="0.4">
      <c r="A142" s="14" t="str">
        <f t="shared" ref="A142:D142" si="10">A113</f>
        <v>Cold (Crude)</v>
      </c>
      <c r="B142" s="14" t="str">
        <f t="shared" si="10"/>
        <v>1FI017.pv</v>
      </c>
      <c r="C142" s="14" t="str">
        <f t="shared" si="10"/>
        <v>Inlet flow Crude</v>
      </c>
      <c r="D142" s="14">
        <f t="shared" si="10"/>
        <v>141.19999999999999</v>
      </c>
    </row>
    <row r="143" spans="1:10" x14ac:dyDescent="0.4">
      <c r="A143" s="14" t="s">
        <v>274</v>
      </c>
      <c r="B143" s="14" t="s">
        <v>156</v>
      </c>
      <c r="C143" s="14" t="s">
        <v>275</v>
      </c>
      <c r="D143" s="14">
        <f>'[1]Key Control'!F80</f>
        <v>231.78</v>
      </c>
    </row>
    <row r="144" spans="1:10" x14ac:dyDescent="0.4">
      <c r="A144" s="14" t="s">
        <v>274</v>
      </c>
      <c r="B144" s="14" t="str">
        <f t="shared" ref="B144:D145" si="11">B135</f>
        <v>1TI117.pv</v>
      </c>
      <c r="C144" s="14" t="str">
        <f t="shared" si="11"/>
        <v>Inlet temp Residue</v>
      </c>
      <c r="D144" s="14">
        <f t="shared" si="11"/>
        <v>280.13</v>
      </c>
    </row>
    <row r="145" spans="1:5" x14ac:dyDescent="0.4">
      <c r="A145" s="14" t="s">
        <v>274</v>
      </c>
      <c r="B145" s="14" t="str">
        <f t="shared" si="11"/>
        <v>439FI003.pv</v>
      </c>
      <c r="C145" s="14" t="str">
        <f t="shared" si="11"/>
        <v>Flow Residue</v>
      </c>
      <c r="D145" s="14">
        <f t="shared" si="11"/>
        <v>188.12</v>
      </c>
    </row>
    <row r="146" spans="1:5" x14ac:dyDescent="0.4">
      <c r="A146" s="9"/>
      <c r="B146" s="9"/>
      <c r="C146" s="9"/>
      <c r="D146" s="9"/>
    </row>
    <row r="147" spans="1:5" x14ac:dyDescent="0.4">
      <c r="A147" s="4" t="s">
        <v>369</v>
      </c>
      <c r="B147" s="4" t="s">
        <v>133</v>
      </c>
      <c r="C147" s="4"/>
      <c r="D147" s="4"/>
      <c r="E147" s="5"/>
    </row>
    <row r="148" spans="1:5" x14ac:dyDescent="0.4">
      <c r="A148" s="7" t="s">
        <v>10</v>
      </c>
      <c r="B148" s="7" t="s">
        <v>11</v>
      </c>
      <c r="C148" s="7" t="s">
        <v>12</v>
      </c>
      <c r="D148" s="7" t="s">
        <v>4</v>
      </c>
    </row>
    <row r="149" spans="1:5" x14ac:dyDescent="0.4">
      <c r="A149" s="9" t="s">
        <v>138</v>
      </c>
      <c r="B149" s="9" t="s">
        <v>144</v>
      </c>
      <c r="C149" s="9" t="s">
        <v>143</v>
      </c>
      <c r="D149" s="9">
        <f>'[1]Key Control'!F73</f>
        <v>239.22</v>
      </c>
    </row>
    <row r="150" spans="1:5" x14ac:dyDescent="0.4">
      <c r="A150" s="9" t="s">
        <v>138</v>
      </c>
      <c r="B150" s="9" t="s">
        <v>148</v>
      </c>
      <c r="C150" s="9" t="s">
        <v>370</v>
      </c>
      <c r="D150" s="20">
        <f>'[1]Key Control'!F74</f>
        <v>258.05</v>
      </c>
    </row>
    <row r="151" spans="1:5" x14ac:dyDescent="0.4">
      <c r="A151" s="9" t="s">
        <v>138</v>
      </c>
      <c r="B151" s="9" t="s">
        <v>371</v>
      </c>
      <c r="C151" s="9" t="s">
        <v>372</v>
      </c>
      <c r="D151" s="9">
        <f>D77+D113+D50</f>
        <v>531.1</v>
      </c>
    </row>
    <row r="152" spans="1:5" x14ac:dyDescent="0.4">
      <c r="A152" s="9" t="s">
        <v>138</v>
      </c>
      <c r="B152" s="9" t="s">
        <v>93</v>
      </c>
      <c r="C152" s="9" t="s">
        <v>373</v>
      </c>
      <c r="D152" s="9">
        <f>'[1]Key Control'!F75</f>
        <v>18.170000000000002</v>
      </c>
    </row>
    <row r="153" spans="1:5" x14ac:dyDescent="0.4">
      <c r="A153" s="9" t="s">
        <v>274</v>
      </c>
      <c r="B153" s="9" t="s">
        <v>97</v>
      </c>
      <c r="C153" s="9" t="s">
        <v>374</v>
      </c>
      <c r="D153" s="9">
        <f>'[1]Key Control'!F76</f>
        <v>7.63</v>
      </c>
    </row>
    <row r="154" spans="1:5" x14ac:dyDescent="0.4">
      <c r="A154" s="9" t="s">
        <v>274</v>
      </c>
      <c r="B154" s="9" t="s">
        <v>100</v>
      </c>
      <c r="C154" s="9" t="s">
        <v>375</v>
      </c>
      <c r="D154" s="9">
        <f>'[1]Key Control'!F78</f>
        <v>6.14</v>
      </c>
    </row>
    <row r="155" spans="1:5" x14ac:dyDescent="0.4">
      <c r="A155" s="9" t="s">
        <v>274</v>
      </c>
      <c r="B155" s="9" t="s">
        <v>153</v>
      </c>
      <c r="C155" s="9" t="s">
        <v>275</v>
      </c>
      <c r="D155" s="9">
        <f>'[1]Key Control'!F77</f>
        <v>280.13</v>
      </c>
    </row>
    <row r="156" spans="1:5" x14ac:dyDescent="0.4">
      <c r="A156" s="9" t="s">
        <v>274</v>
      </c>
      <c r="B156" s="9" t="s">
        <v>244</v>
      </c>
      <c r="C156" s="9" t="s">
        <v>376</v>
      </c>
      <c r="D156" s="9">
        <f>'[1]Key Control'!F79</f>
        <v>332.24</v>
      </c>
    </row>
    <row r="157" spans="1:5" x14ac:dyDescent="0.4">
      <c r="A157" s="9" t="str">
        <f t="shared" ref="A157:D157" si="12">A145</f>
        <v>Hot (Residue)</v>
      </c>
      <c r="B157" s="9" t="str">
        <f t="shared" si="12"/>
        <v>439FI003.pv</v>
      </c>
      <c r="C157" s="9" t="str">
        <f t="shared" si="12"/>
        <v>Flow Residue</v>
      </c>
      <c r="D157" s="9">
        <f t="shared" si="12"/>
        <v>188.12</v>
      </c>
    </row>
    <row r="158" spans="1:5" x14ac:dyDescent="0.4">
      <c r="A158" s="9"/>
      <c r="B158" s="9"/>
      <c r="C158" s="9"/>
      <c r="D158" s="9"/>
    </row>
    <row r="159" spans="1:5" x14ac:dyDescent="0.4">
      <c r="A159" s="4" t="s">
        <v>377</v>
      </c>
      <c r="B159" s="4" t="s">
        <v>378</v>
      </c>
      <c r="C159" s="4"/>
      <c r="D159" s="4"/>
      <c r="E159" s="5"/>
    </row>
    <row r="160" spans="1:5" x14ac:dyDescent="0.4">
      <c r="A160" s="7" t="s">
        <v>10</v>
      </c>
      <c r="B160" s="7" t="s">
        <v>11</v>
      </c>
      <c r="C160" s="7" t="s">
        <v>12</v>
      </c>
      <c r="D160" s="7" t="s">
        <v>4</v>
      </c>
    </row>
    <row r="161" spans="1:4" x14ac:dyDescent="0.4">
      <c r="A161" s="9" t="s">
        <v>379</v>
      </c>
      <c r="B161" s="9" t="s">
        <v>261</v>
      </c>
      <c r="C161" s="9" t="s">
        <v>380</v>
      </c>
      <c r="D161" s="30">
        <f>'[1]Key Control'!F126</f>
        <v>39.86</v>
      </c>
    </row>
    <row r="162" spans="1:4" x14ac:dyDescent="0.4">
      <c r="A162" s="9" t="s">
        <v>379</v>
      </c>
      <c r="B162" s="9" t="s">
        <v>255</v>
      </c>
      <c r="C162" s="9" t="s">
        <v>381</v>
      </c>
      <c r="D162" s="30">
        <f>'[1]Key Control'!F127</f>
        <v>227.74</v>
      </c>
    </row>
    <row r="163" spans="1:4" x14ac:dyDescent="0.4">
      <c r="A163" s="9" t="s">
        <v>382</v>
      </c>
      <c r="B163" s="9" t="s">
        <v>270</v>
      </c>
      <c r="C163" s="9" t="s">
        <v>383</v>
      </c>
      <c r="D163" s="30">
        <f>'[1]Key Control'!F130</f>
        <v>154.88</v>
      </c>
    </row>
    <row r="164" spans="1:4" x14ac:dyDescent="0.4">
      <c r="A164" s="9" t="s">
        <v>384</v>
      </c>
      <c r="B164" s="9" t="s">
        <v>385</v>
      </c>
      <c r="C164" s="9" t="s">
        <v>386</v>
      </c>
      <c r="D164" s="9">
        <v>324.27999999999997</v>
      </c>
    </row>
    <row r="166" spans="1:4" x14ac:dyDescent="0.4">
      <c r="A166" s="31" t="s">
        <v>387</v>
      </c>
      <c r="B166" s="31" t="s">
        <v>388</v>
      </c>
      <c r="C166" s="31"/>
      <c r="D166" s="31"/>
    </row>
    <row r="167" spans="1:4" x14ac:dyDescent="0.4">
      <c r="A167" s="32" t="s">
        <v>10</v>
      </c>
      <c r="B167" s="32" t="s">
        <v>11</v>
      </c>
      <c r="C167" s="32" t="s">
        <v>12</v>
      </c>
      <c r="D167" s="32" t="s">
        <v>4</v>
      </c>
    </row>
    <row r="168" spans="1:4" x14ac:dyDescent="0.4">
      <c r="A168" s="9" t="s">
        <v>389</v>
      </c>
      <c r="B168" s="9" t="s">
        <v>148</v>
      </c>
      <c r="C168" s="9" t="s">
        <v>390</v>
      </c>
      <c r="D168" s="30">
        <f>'[1]Key Control'!F102</f>
        <v>258.05</v>
      </c>
    </row>
    <row r="169" spans="1:4" x14ac:dyDescent="0.4">
      <c r="A169" s="9" t="s">
        <v>389</v>
      </c>
      <c r="B169" s="9" t="s">
        <v>93</v>
      </c>
      <c r="C169" s="9" t="s">
        <v>391</v>
      </c>
      <c r="D169" s="30">
        <f>'[1]Key Control'!F103</f>
        <v>18.170000000000002</v>
      </c>
    </row>
    <row r="170" spans="1:4" x14ac:dyDescent="0.4">
      <c r="A170" s="9" t="s">
        <v>389</v>
      </c>
      <c r="B170" s="9" t="s">
        <v>234</v>
      </c>
      <c r="C170" s="9" t="s">
        <v>392</v>
      </c>
      <c r="D170" s="9">
        <f>'[1]Key Control'!F120</f>
        <v>340.1</v>
      </c>
    </row>
    <row r="171" spans="1:4" x14ac:dyDescent="0.4">
      <c r="A171" s="9" t="s">
        <v>389</v>
      </c>
      <c r="B171" s="9" t="s">
        <v>102</v>
      </c>
      <c r="C171" s="9" t="s">
        <v>393</v>
      </c>
      <c r="D171" s="30">
        <f>'[1]Key Control'!F121</f>
        <v>340.1</v>
      </c>
    </row>
    <row r="172" spans="1:4" x14ac:dyDescent="0.4">
      <c r="A172" s="9" t="s">
        <v>389</v>
      </c>
      <c r="B172" s="9" t="s">
        <v>95</v>
      </c>
      <c r="C172" s="9" t="s">
        <v>394</v>
      </c>
      <c r="D172" s="30">
        <f>'[1]Key Control'!F122</f>
        <v>0.71399999999999997</v>
      </c>
    </row>
    <row r="173" spans="1:4" x14ac:dyDescent="0.4">
      <c r="A173" s="9"/>
      <c r="B173" s="9"/>
      <c r="C173" s="9"/>
      <c r="D173" s="9"/>
    </row>
    <row r="174" spans="1:4" x14ac:dyDescent="0.4">
      <c r="A174" s="31" t="s">
        <v>395</v>
      </c>
      <c r="B174" s="31" t="s">
        <v>388</v>
      </c>
      <c r="C174" s="31"/>
      <c r="D174" s="31"/>
    </row>
    <row r="175" spans="1:4" x14ac:dyDescent="0.4">
      <c r="A175" s="32" t="s">
        <v>10</v>
      </c>
      <c r="B175" s="32" t="s">
        <v>11</v>
      </c>
      <c r="C175" s="32" t="s">
        <v>12</v>
      </c>
      <c r="D175" s="32" t="s">
        <v>4</v>
      </c>
    </row>
    <row r="176" spans="1:4" x14ac:dyDescent="0.4">
      <c r="A176" s="9" t="s">
        <v>396</v>
      </c>
      <c r="B176" s="9" t="s">
        <v>23</v>
      </c>
      <c r="C176" s="9" t="s">
        <v>397</v>
      </c>
      <c r="D176" s="30">
        <f>'[1]Key Control'!F104</f>
        <v>130.6</v>
      </c>
    </row>
    <row r="177" spans="1:4" x14ac:dyDescent="0.4">
      <c r="A177" s="9" t="s">
        <v>396</v>
      </c>
      <c r="B177" s="9" t="s">
        <v>213</v>
      </c>
      <c r="C177" s="9" t="s">
        <v>398</v>
      </c>
      <c r="D177" s="30">
        <f>'[1]Key Control'!F108</f>
        <v>291.05</v>
      </c>
    </row>
    <row r="178" spans="1:4" x14ac:dyDescent="0.4">
      <c r="A178" s="9" t="s">
        <v>396</v>
      </c>
      <c r="B178" s="9" t="s">
        <v>236</v>
      </c>
      <c r="C178" s="9" t="s">
        <v>399</v>
      </c>
      <c r="D178" s="30">
        <f>'[1]Key Control'!F112</f>
        <v>389.4</v>
      </c>
    </row>
    <row r="179" spans="1:4" x14ac:dyDescent="0.4">
      <c r="A179" s="9" t="s">
        <v>396</v>
      </c>
      <c r="B179" s="9" t="s">
        <v>229</v>
      </c>
      <c r="C179" s="9" t="s">
        <v>400</v>
      </c>
      <c r="D179" s="30">
        <f>'[1]Key Control'!F116</f>
        <v>356.36</v>
      </c>
    </row>
    <row r="180" spans="1:4" x14ac:dyDescent="0.4">
      <c r="A180" s="9"/>
      <c r="B180" s="9"/>
      <c r="C180" s="9"/>
      <c r="D180" s="9"/>
    </row>
    <row r="181" spans="1:4" x14ac:dyDescent="0.4">
      <c r="A181" s="31" t="s">
        <v>401</v>
      </c>
      <c r="B181" s="31" t="s">
        <v>388</v>
      </c>
      <c r="C181" s="31"/>
      <c r="D181" s="31"/>
    </row>
    <row r="182" spans="1:4" x14ac:dyDescent="0.4">
      <c r="A182" s="32" t="s">
        <v>10</v>
      </c>
      <c r="B182" s="32" t="s">
        <v>11</v>
      </c>
      <c r="C182" s="32" t="s">
        <v>12</v>
      </c>
      <c r="D182" s="32" t="s">
        <v>4</v>
      </c>
    </row>
    <row r="183" spans="1:4" x14ac:dyDescent="0.4">
      <c r="A183" s="9" t="s">
        <v>402</v>
      </c>
      <c r="B183" s="9" t="s">
        <v>28</v>
      </c>
      <c r="C183" s="9" t="s">
        <v>403</v>
      </c>
      <c r="D183" s="30">
        <f>'[1]Key Control'!F105</f>
        <v>131.69999999999999</v>
      </c>
    </row>
    <row r="184" spans="1:4" x14ac:dyDescent="0.4">
      <c r="A184" s="9" t="s">
        <v>402</v>
      </c>
      <c r="B184" s="9" t="s">
        <v>211</v>
      </c>
      <c r="C184" s="9" t="s">
        <v>404</v>
      </c>
      <c r="D184" s="30">
        <f>'[1]Key Control'!F109</f>
        <v>286.29000000000002</v>
      </c>
    </row>
    <row r="185" spans="1:4" x14ac:dyDescent="0.4">
      <c r="A185" s="9" t="s">
        <v>402</v>
      </c>
      <c r="B185" s="9" t="s">
        <v>239</v>
      </c>
      <c r="C185" s="9" t="s">
        <v>405</v>
      </c>
      <c r="D185" s="30">
        <f>'[1]Key Control'!F113</f>
        <v>370.14</v>
      </c>
    </row>
    <row r="186" spans="1:4" x14ac:dyDescent="0.4">
      <c r="A186" s="9" t="s">
        <v>402</v>
      </c>
      <c r="B186" s="9" t="s">
        <v>216</v>
      </c>
      <c r="C186" s="9" t="s">
        <v>406</v>
      </c>
      <c r="D186" s="30">
        <f>'[1]Key Control'!F117</f>
        <v>335.61</v>
      </c>
    </row>
    <row r="187" spans="1:4" x14ac:dyDescent="0.4">
      <c r="A187" s="9"/>
      <c r="B187" s="9"/>
      <c r="C187" s="9"/>
      <c r="D187" s="9"/>
    </row>
    <row r="188" spans="1:4" x14ac:dyDescent="0.4">
      <c r="A188" s="31" t="s">
        <v>407</v>
      </c>
      <c r="B188" s="31" t="s">
        <v>388</v>
      </c>
      <c r="C188" s="31"/>
      <c r="D188" s="31"/>
    </row>
    <row r="189" spans="1:4" x14ac:dyDescent="0.4">
      <c r="A189" s="32" t="s">
        <v>10</v>
      </c>
      <c r="B189" s="32" t="s">
        <v>11</v>
      </c>
      <c r="C189" s="32" t="s">
        <v>12</v>
      </c>
      <c r="D189" s="32" t="s">
        <v>4</v>
      </c>
    </row>
    <row r="190" spans="1:4" x14ac:dyDescent="0.4">
      <c r="A190" s="9" t="s">
        <v>408</v>
      </c>
      <c r="B190" s="9" t="s">
        <v>33</v>
      </c>
      <c r="C190" s="9" t="s">
        <v>409</v>
      </c>
      <c r="D190" s="30">
        <f>'[1]Key Control'!F106</f>
        <v>131.69999999999999</v>
      </c>
    </row>
    <row r="191" spans="1:4" x14ac:dyDescent="0.4">
      <c r="A191" s="9" t="s">
        <v>408</v>
      </c>
      <c r="B191" s="9" t="s">
        <v>208</v>
      </c>
      <c r="C191" s="9" t="s">
        <v>410</v>
      </c>
      <c r="D191" s="30">
        <f>'[1]Key Control'!F110</f>
        <v>286.83999999999997</v>
      </c>
    </row>
    <row r="192" spans="1:4" x14ac:dyDescent="0.4">
      <c r="A192" s="9" t="s">
        <v>408</v>
      </c>
      <c r="B192" s="9" t="s">
        <v>223</v>
      </c>
      <c r="C192" s="9" t="s">
        <v>411</v>
      </c>
      <c r="D192" s="30">
        <f>'[1]Key Control'!F114</f>
        <v>356.49</v>
      </c>
    </row>
    <row r="193" spans="1:4" x14ac:dyDescent="0.4">
      <c r="A193" s="9" t="s">
        <v>408</v>
      </c>
      <c r="B193" s="9" t="s">
        <v>218</v>
      </c>
      <c r="C193" s="9" t="s">
        <v>412</v>
      </c>
      <c r="D193" s="30">
        <f>'[1]Key Control'!F118</f>
        <v>335</v>
      </c>
    </row>
    <row r="194" spans="1:4" x14ac:dyDescent="0.4">
      <c r="A194" s="9"/>
      <c r="B194" s="9"/>
      <c r="C194" s="9"/>
      <c r="D194" s="9"/>
    </row>
    <row r="195" spans="1:4" x14ac:dyDescent="0.4">
      <c r="A195" s="31" t="s">
        <v>413</v>
      </c>
      <c r="B195" s="31" t="s">
        <v>388</v>
      </c>
      <c r="C195" s="31"/>
      <c r="D195" s="31"/>
    </row>
    <row r="196" spans="1:4" x14ac:dyDescent="0.4">
      <c r="A196" s="32" t="s">
        <v>10</v>
      </c>
      <c r="B196" s="32" t="s">
        <v>11</v>
      </c>
      <c r="C196" s="32" t="s">
        <v>12</v>
      </c>
      <c r="D196" s="32" t="s">
        <v>4</v>
      </c>
    </row>
    <row r="197" spans="1:4" x14ac:dyDescent="0.4">
      <c r="A197" s="9" t="s">
        <v>414</v>
      </c>
      <c r="B197" s="9" t="s">
        <v>37</v>
      </c>
      <c r="C197" s="9" t="s">
        <v>415</v>
      </c>
      <c r="D197" s="30">
        <f>'[1]Key Control'!F107</f>
        <v>131.80000000000001</v>
      </c>
    </row>
    <row r="198" spans="1:4" x14ac:dyDescent="0.4">
      <c r="A198" s="9" t="s">
        <v>414</v>
      </c>
      <c r="B198" s="20" t="s">
        <v>205</v>
      </c>
      <c r="C198" s="9" t="s">
        <v>416</v>
      </c>
      <c r="D198" s="30">
        <f>'[1]Key Control'!F111</f>
        <v>290.3</v>
      </c>
    </row>
    <row r="199" spans="1:4" x14ac:dyDescent="0.4">
      <c r="A199" s="9" t="s">
        <v>414</v>
      </c>
      <c r="B199" s="20" t="s">
        <v>220</v>
      </c>
      <c r="C199" s="9" t="s">
        <v>417</v>
      </c>
      <c r="D199" s="30">
        <f>'[1]Key Control'!F115</f>
        <v>378.75</v>
      </c>
    </row>
    <row r="200" spans="1:4" x14ac:dyDescent="0.4">
      <c r="A200" s="9" t="s">
        <v>414</v>
      </c>
      <c r="B200" s="9" t="s">
        <v>232</v>
      </c>
      <c r="C200" s="9" t="s">
        <v>418</v>
      </c>
      <c r="D200" s="30">
        <f>'[1]Key Control'!F119</f>
        <v>345.41</v>
      </c>
    </row>
    <row r="202" spans="1:4" x14ac:dyDescent="0.4">
      <c r="A202" s="31" t="s">
        <v>419</v>
      </c>
      <c r="B202" s="31" t="s">
        <v>388</v>
      </c>
      <c r="C202" s="31"/>
      <c r="D202" s="31"/>
    </row>
    <row r="203" spans="1:4" x14ac:dyDescent="0.4">
      <c r="A203" s="32" t="s">
        <v>10</v>
      </c>
      <c r="B203" s="32" t="s">
        <v>11</v>
      </c>
      <c r="C203" s="32" t="s">
        <v>12</v>
      </c>
      <c r="D203" s="32" t="s">
        <v>4</v>
      </c>
    </row>
    <row r="204" spans="1:4" x14ac:dyDescent="0.4">
      <c r="A204" s="9" t="s">
        <v>420</v>
      </c>
      <c r="B204" s="9" t="s">
        <v>107</v>
      </c>
      <c r="C204" s="9" t="s">
        <v>421</v>
      </c>
      <c r="D204" s="30">
        <v>6806</v>
      </c>
    </row>
    <row r="205" spans="1:4" x14ac:dyDescent="0.4">
      <c r="A205" s="9" t="s">
        <v>422</v>
      </c>
      <c r="B205" s="9" t="s">
        <v>225</v>
      </c>
      <c r="C205" s="9" t="s">
        <v>226</v>
      </c>
      <c r="D205" s="30">
        <v>414.94</v>
      </c>
    </row>
    <row r="206" spans="1:4" x14ac:dyDescent="0.4">
      <c r="A206" s="9"/>
      <c r="B206" s="9"/>
      <c r="C206" s="9"/>
      <c r="D206" s="9"/>
    </row>
    <row r="207" spans="1:4" x14ac:dyDescent="0.4">
      <c r="A207" s="31" t="s">
        <v>423</v>
      </c>
      <c r="B207" s="31" t="s">
        <v>388</v>
      </c>
      <c r="C207" s="31"/>
      <c r="D207" s="31"/>
    </row>
    <row r="208" spans="1:4" x14ac:dyDescent="0.4">
      <c r="A208" s="32" t="s">
        <v>10</v>
      </c>
      <c r="B208" s="32" t="s">
        <v>11</v>
      </c>
      <c r="C208" s="32" t="s">
        <v>12</v>
      </c>
      <c r="D208" s="32" t="s">
        <v>4</v>
      </c>
    </row>
    <row r="209" spans="1:4" x14ac:dyDescent="0.4">
      <c r="A209" s="9" t="s">
        <v>424</v>
      </c>
      <c r="B209" s="20" t="s">
        <v>425</v>
      </c>
      <c r="C209" s="9" t="s">
        <v>273</v>
      </c>
      <c r="D209" s="30">
        <f>'[1]Key Control'!F123</f>
        <v>183.71</v>
      </c>
    </row>
    <row r="210" spans="1:4" x14ac:dyDescent="0.4">
      <c r="A210" s="9" t="s">
        <v>424</v>
      </c>
      <c r="B210" s="20" t="s">
        <v>426</v>
      </c>
      <c r="C210" s="9" t="s">
        <v>277</v>
      </c>
      <c r="D210" s="30">
        <f>'[1]Key Control'!F124</f>
        <v>182.9</v>
      </c>
    </row>
    <row r="211" spans="1:4" x14ac:dyDescent="0.4">
      <c r="A211" s="9" t="s">
        <v>427</v>
      </c>
      <c r="B211" s="9" t="s">
        <v>428</v>
      </c>
      <c r="C211" s="9" t="s">
        <v>242</v>
      </c>
      <c r="D211" s="30">
        <f>'[1]Key Control'!F132</f>
        <v>347.98</v>
      </c>
    </row>
    <row r="212" spans="1:4" x14ac:dyDescent="0.4">
      <c r="A212" s="9" t="s">
        <v>429</v>
      </c>
      <c r="B212" s="9" t="s">
        <v>430</v>
      </c>
      <c r="C212" s="9" t="s">
        <v>431</v>
      </c>
      <c r="D212" s="30">
        <f>'[1]Key Control'!F133</f>
        <v>412.35</v>
      </c>
    </row>
    <row r="213" spans="1:4" x14ac:dyDescent="0.4">
      <c r="A213" s="9"/>
      <c r="B213" s="9"/>
      <c r="C213" s="9"/>
      <c r="D213" s="9"/>
    </row>
    <row r="214" spans="1:4" x14ac:dyDescent="0.4">
      <c r="A214" s="31" t="s">
        <v>432</v>
      </c>
      <c r="B214" s="31" t="s">
        <v>433</v>
      </c>
      <c r="C214" s="31"/>
      <c r="D214" s="31"/>
    </row>
    <row r="215" spans="1:4" x14ac:dyDescent="0.4">
      <c r="A215" s="32" t="s">
        <v>10</v>
      </c>
      <c r="B215" s="32" t="s">
        <v>11</v>
      </c>
      <c r="C215" s="32" t="s">
        <v>12</v>
      </c>
      <c r="D215" s="32" t="s">
        <v>4</v>
      </c>
    </row>
    <row r="216" spans="1:4" x14ac:dyDescent="0.4">
      <c r="A216" s="9" t="s">
        <v>379</v>
      </c>
      <c r="B216" s="9" t="s">
        <v>434</v>
      </c>
      <c r="C216" s="9" t="s">
        <v>435</v>
      </c>
      <c r="D216" s="30">
        <f>'[1]Key Control'!F125</f>
        <v>28.1</v>
      </c>
    </row>
    <row r="217" spans="1:4" x14ac:dyDescent="0.4">
      <c r="A217" s="9" t="s">
        <v>379</v>
      </c>
      <c r="B217" s="9" t="s">
        <v>436</v>
      </c>
      <c r="C217" s="9" t="s">
        <v>437</v>
      </c>
      <c r="D217" s="30">
        <f>'[1]Key Control'!F126</f>
        <v>39.86</v>
      </c>
    </row>
    <row r="218" spans="1:4" x14ac:dyDescent="0.4">
      <c r="A218" s="9" t="s">
        <v>379</v>
      </c>
      <c r="B218" s="9" t="s">
        <v>438</v>
      </c>
      <c r="C218" s="9" t="s">
        <v>439</v>
      </c>
      <c r="D218" s="30">
        <f>'[1]Key Control'!F127</f>
        <v>227.74</v>
      </c>
    </row>
    <row r="219" spans="1:4" x14ac:dyDescent="0.4">
      <c r="A219" s="9" t="s">
        <v>379</v>
      </c>
      <c r="B219" s="9" t="s">
        <v>440</v>
      </c>
      <c r="C219" s="9" t="s">
        <v>260</v>
      </c>
      <c r="D219" s="30">
        <f>'[1]Key Control'!F128</f>
        <v>232.63</v>
      </c>
    </row>
    <row r="220" spans="1:4" x14ac:dyDescent="0.4">
      <c r="A220" s="9"/>
      <c r="B220" s="9"/>
      <c r="C220" s="9"/>
      <c r="D220" s="9"/>
    </row>
    <row r="221" spans="1:4" x14ac:dyDescent="0.4">
      <c r="A221" s="31" t="s">
        <v>441</v>
      </c>
      <c r="B221" s="31" t="s">
        <v>433</v>
      </c>
      <c r="C221" s="31"/>
      <c r="D221" s="31"/>
    </row>
    <row r="222" spans="1:4" x14ac:dyDescent="0.4">
      <c r="A222" s="32" t="s">
        <v>10</v>
      </c>
      <c r="B222" s="32" t="s">
        <v>11</v>
      </c>
      <c r="C222" s="32" t="s">
        <v>12</v>
      </c>
      <c r="D222" s="32" t="s">
        <v>4</v>
      </c>
    </row>
    <row r="223" spans="1:4" x14ac:dyDescent="0.4">
      <c r="A223" s="9" t="s">
        <v>382</v>
      </c>
      <c r="B223" s="9" t="s">
        <v>442</v>
      </c>
      <c r="C223" s="9" t="s">
        <v>443</v>
      </c>
      <c r="D223" s="30">
        <f>'[1]Key Control'!F129</f>
        <v>324.27999999999997</v>
      </c>
    </row>
    <row r="224" spans="1:4" x14ac:dyDescent="0.4">
      <c r="A224" s="9" t="s">
        <v>382</v>
      </c>
      <c r="B224" s="9" t="s">
        <v>444</v>
      </c>
      <c r="C224" s="9" t="s">
        <v>439</v>
      </c>
      <c r="D224" s="30">
        <f>'[1]Key Control'!F130</f>
        <v>154.88</v>
      </c>
    </row>
    <row r="225" spans="1:5" x14ac:dyDescent="0.4">
      <c r="A225" s="9" t="s">
        <v>382</v>
      </c>
      <c r="B225" s="20" t="s">
        <v>445</v>
      </c>
      <c r="C225" s="9" t="s">
        <v>446</v>
      </c>
      <c r="D225" s="9">
        <f>'[1]Key Control'!F131</f>
        <v>2.52</v>
      </c>
    </row>
    <row r="226" spans="1:5" x14ac:dyDescent="0.4">
      <c r="A226" s="9" t="s">
        <v>382</v>
      </c>
      <c r="B226" s="9" t="s">
        <v>447</v>
      </c>
      <c r="C226" s="9" t="s">
        <v>448</v>
      </c>
      <c r="D226" s="30">
        <f>'[1]Key Control'!F134</f>
        <v>-3.02</v>
      </c>
    </row>
    <row r="227" spans="1:5" x14ac:dyDescent="0.4">
      <c r="A227" s="9"/>
      <c r="B227" s="9"/>
      <c r="C227" s="9"/>
      <c r="D227" s="9"/>
    </row>
    <row r="228" spans="1:5" x14ac:dyDescent="0.4">
      <c r="A228" s="31" t="s">
        <v>449</v>
      </c>
      <c r="B228" s="31" t="s">
        <v>388</v>
      </c>
      <c r="C228" s="31"/>
      <c r="D228" s="31"/>
    </row>
    <row r="229" spans="1:5" x14ac:dyDescent="0.4">
      <c r="A229" s="32" t="s">
        <v>10</v>
      </c>
      <c r="B229" s="32" t="s">
        <v>11</v>
      </c>
      <c r="C229" s="32" t="s">
        <v>12</v>
      </c>
      <c r="D229" s="32" t="s">
        <v>4</v>
      </c>
    </row>
    <row r="230" spans="1:5" x14ac:dyDescent="0.4">
      <c r="A230" s="9" t="s">
        <v>450</v>
      </c>
      <c r="B230" s="9" t="s">
        <v>451</v>
      </c>
      <c r="C230" s="9" t="s">
        <v>452</v>
      </c>
      <c r="D230" s="30">
        <f>'[1]Key Control'!F135</f>
        <v>6.66</v>
      </c>
    </row>
    <row r="231" spans="1:5" x14ac:dyDescent="0.4">
      <c r="A231" s="9" t="s">
        <v>450</v>
      </c>
      <c r="B231" s="20" t="s">
        <v>453</v>
      </c>
      <c r="C231" s="9" t="s">
        <v>454</v>
      </c>
      <c r="D231" s="30">
        <f>'[1]Key Control'!F136</f>
        <v>1.8220000000000001</v>
      </c>
    </row>
    <row r="232" spans="1:5" x14ac:dyDescent="0.4">
      <c r="A232" s="9"/>
      <c r="B232" s="9"/>
      <c r="C232" s="9"/>
      <c r="D232" s="9"/>
    </row>
    <row r="234" spans="1:5" ht="19.2" x14ac:dyDescent="0.45">
      <c r="A234" s="33" t="s">
        <v>455</v>
      </c>
      <c r="B234" s="33" t="s">
        <v>456</v>
      </c>
      <c r="C234" s="33"/>
      <c r="D234" s="33"/>
      <c r="E234" s="33"/>
    </row>
    <row r="235" spans="1:5" x14ac:dyDescent="0.4">
      <c r="A235" s="34" t="s">
        <v>457</v>
      </c>
      <c r="B235" s="34" t="s">
        <v>11</v>
      </c>
      <c r="C235" s="34" t="s">
        <v>12</v>
      </c>
      <c r="D235" s="34" t="s">
        <v>4</v>
      </c>
      <c r="E235" s="34" t="s">
        <v>458</v>
      </c>
    </row>
    <row r="236" spans="1:5" x14ac:dyDescent="0.4">
      <c r="A236" s="35" t="s">
        <v>459</v>
      </c>
      <c r="B236" s="9" t="s">
        <v>460</v>
      </c>
      <c r="C236" s="9" t="s">
        <v>461</v>
      </c>
      <c r="D236" s="36">
        <f>'[1]Key Control'!F102</f>
        <v>258.05</v>
      </c>
      <c r="E236" s="9" t="s">
        <v>104</v>
      </c>
    </row>
    <row r="237" spans="1:5" x14ac:dyDescent="0.4">
      <c r="A237" s="35" t="s">
        <v>462</v>
      </c>
      <c r="B237" s="9" t="s">
        <v>463</v>
      </c>
      <c r="C237" s="9" t="s">
        <v>464</v>
      </c>
      <c r="D237" s="37">
        <f>'[1]Key Control'!F120</f>
        <v>340.1</v>
      </c>
      <c r="E237" s="9" t="s">
        <v>104</v>
      </c>
    </row>
    <row r="238" spans="1:5" x14ac:dyDescent="0.4">
      <c r="A238" s="35" t="s">
        <v>465</v>
      </c>
      <c r="B238" s="9" t="s">
        <v>466</v>
      </c>
      <c r="C238" s="9" t="s">
        <v>467</v>
      </c>
      <c r="D238" s="36">
        <f>'[1]Key Control'!F121</f>
        <v>340.1</v>
      </c>
      <c r="E238" s="9" t="s">
        <v>104</v>
      </c>
    </row>
    <row r="239" spans="1:5" x14ac:dyDescent="0.4">
      <c r="A239" s="35" t="s">
        <v>468</v>
      </c>
      <c r="B239" s="9" t="s">
        <v>445</v>
      </c>
      <c r="C239" s="9" t="s">
        <v>469</v>
      </c>
      <c r="D239" s="37">
        <f>'[1]Key Control'!F131</f>
        <v>2.52</v>
      </c>
      <c r="E239" s="9" t="s">
        <v>470</v>
      </c>
    </row>
    <row r="240" spans="1:5" x14ac:dyDescent="0.4">
      <c r="A240" s="35" t="s">
        <v>471</v>
      </c>
      <c r="B240" s="9" t="s">
        <v>472</v>
      </c>
      <c r="C240" s="9" t="s">
        <v>473</v>
      </c>
      <c r="D240" s="36">
        <f>'[1]Key Control'!F134</f>
        <v>-3.02</v>
      </c>
      <c r="E240" s="9" t="s">
        <v>474</v>
      </c>
    </row>
    <row r="241" spans="1:5" x14ac:dyDescent="0.4">
      <c r="A241" s="35" t="s">
        <v>475</v>
      </c>
      <c r="B241" s="9" t="s">
        <v>451</v>
      </c>
      <c r="C241" s="9" t="s">
        <v>476</v>
      </c>
      <c r="D241" s="36">
        <f>'[1]Key Control'!F135</f>
        <v>6.66</v>
      </c>
      <c r="E241" s="9" t="s">
        <v>477</v>
      </c>
    </row>
    <row r="242" spans="1:5" x14ac:dyDescent="0.4">
      <c r="A242" s="35" t="s">
        <v>478</v>
      </c>
      <c r="B242" s="9" t="s">
        <v>453</v>
      </c>
      <c r="C242" s="9" t="s">
        <v>479</v>
      </c>
      <c r="D242" s="36">
        <f>'[1]Key Control'!F136</f>
        <v>1.8220000000000001</v>
      </c>
      <c r="E242" s="9" t="s">
        <v>85</v>
      </c>
    </row>
    <row r="243" spans="1:5" x14ac:dyDescent="0.4">
      <c r="A243" s="38" t="s">
        <v>480</v>
      </c>
      <c r="B243" s="39" t="s">
        <v>425</v>
      </c>
      <c r="C243" s="9" t="s">
        <v>273</v>
      </c>
      <c r="D243" s="30">
        <v>183.71</v>
      </c>
      <c r="E243" s="9" t="s">
        <v>104</v>
      </c>
    </row>
    <row r="244" spans="1:5" x14ac:dyDescent="0.4">
      <c r="A244" s="38" t="s">
        <v>481</v>
      </c>
      <c r="B244" s="39" t="s">
        <v>426</v>
      </c>
      <c r="C244" s="9" t="s">
        <v>277</v>
      </c>
      <c r="D244" s="30">
        <v>182.9</v>
      </c>
      <c r="E244" s="9" t="s">
        <v>104</v>
      </c>
    </row>
    <row r="245" spans="1:5" x14ac:dyDescent="0.4">
      <c r="A245" s="38" t="s">
        <v>482</v>
      </c>
      <c r="B245" s="9" t="s">
        <v>213</v>
      </c>
      <c r="C245" s="9" t="s">
        <v>398</v>
      </c>
      <c r="D245" s="9">
        <v>291.05</v>
      </c>
      <c r="E245" s="9" t="s">
        <v>104</v>
      </c>
    </row>
    <row r="246" spans="1:5" x14ac:dyDescent="0.4">
      <c r="A246" s="38" t="s">
        <v>483</v>
      </c>
      <c r="B246" s="9" t="s">
        <v>236</v>
      </c>
      <c r="C246" s="9" t="s">
        <v>399</v>
      </c>
      <c r="D246" s="9">
        <v>389.4</v>
      </c>
      <c r="E246" s="9" t="s">
        <v>104</v>
      </c>
    </row>
    <row r="247" spans="1:5" x14ac:dyDescent="0.4">
      <c r="A247" s="38" t="s">
        <v>484</v>
      </c>
      <c r="B247" s="9" t="s">
        <v>211</v>
      </c>
      <c r="C247" s="9" t="s">
        <v>404</v>
      </c>
      <c r="D247" s="9">
        <v>286.29000000000002</v>
      </c>
      <c r="E247" s="9" t="s">
        <v>104</v>
      </c>
    </row>
    <row r="248" spans="1:5" x14ac:dyDescent="0.4">
      <c r="A248" s="38" t="s">
        <v>485</v>
      </c>
      <c r="B248" s="9" t="s">
        <v>239</v>
      </c>
      <c r="C248" s="9" t="s">
        <v>405</v>
      </c>
      <c r="D248" s="9">
        <v>370.14</v>
      </c>
      <c r="E248" s="9" t="s">
        <v>104</v>
      </c>
    </row>
    <row r="249" spans="1:5" x14ac:dyDescent="0.4">
      <c r="A249" s="38" t="s">
        <v>486</v>
      </c>
      <c r="B249" s="9" t="s">
        <v>208</v>
      </c>
      <c r="C249" s="9" t="s">
        <v>410</v>
      </c>
      <c r="D249" s="9">
        <v>286.83999999999997</v>
      </c>
      <c r="E249" s="9" t="s">
        <v>104</v>
      </c>
    </row>
    <row r="250" spans="1:5" x14ac:dyDescent="0.4">
      <c r="A250" s="38" t="s">
        <v>487</v>
      </c>
      <c r="B250" s="9" t="s">
        <v>223</v>
      </c>
      <c r="C250" s="9" t="s">
        <v>411</v>
      </c>
      <c r="D250" s="9">
        <v>356.49</v>
      </c>
      <c r="E250" s="9" t="s">
        <v>104</v>
      </c>
    </row>
    <row r="251" spans="1:5" x14ac:dyDescent="0.4">
      <c r="A251" s="38" t="s">
        <v>488</v>
      </c>
      <c r="B251" s="9" t="s">
        <v>205</v>
      </c>
      <c r="C251" s="9" t="s">
        <v>416</v>
      </c>
      <c r="D251" s="9">
        <v>290.3</v>
      </c>
      <c r="E251" s="9" t="s">
        <v>104</v>
      </c>
    </row>
    <row r="252" spans="1:5" x14ac:dyDescent="0.4">
      <c r="A252" s="38" t="s">
        <v>489</v>
      </c>
      <c r="B252" s="9" t="s">
        <v>220</v>
      </c>
      <c r="C252" s="9" t="s">
        <v>417</v>
      </c>
      <c r="D252" s="9">
        <v>378.75</v>
      </c>
      <c r="E252" s="9" t="s">
        <v>104</v>
      </c>
    </row>
  </sheetData>
  <autoFilter ref="B1:B252" xr:uid="{F1E9455B-1F14-4F0F-A97F-78826FFD22D3}"/>
  <mergeCells count="3">
    <mergeCell ref="G1:I1"/>
    <mergeCell ref="G105:J105"/>
    <mergeCell ref="G133:J1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Yalika Saardmuang (STU546)</dc:creator>
  <cp:lastModifiedBy>Yalika Saardmuang</cp:lastModifiedBy>
  <dcterms:created xsi:type="dcterms:W3CDTF">2026-06-30T02:00:14Z</dcterms:created>
  <dcterms:modified xsi:type="dcterms:W3CDTF">2026-07-13T21:34:53Z</dcterms:modified>
</cp:coreProperties>
</file>